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ummary" sheetId="2" r:id="rId6"/>
    <sheet state="visible" name="Điểm cộng"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0">
      <text>
        <t xml:space="preserve">Responder updated this value.</t>
      </text>
    </comment>
    <comment authorId="0" ref="H63">
      <text>
        <t xml:space="preserve">Responder updated this value.</t>
      </text>
    </comment>
  </commentList>
</comments>
</file>

<file path=xl/sharedStrings.xml><?xml version="1.0" encoding="utf-8"?>
<sst xmlns="http://schemas.openxmlformats.org/spreadsheetml/2006/main" count="3551" uniqueCount="935">
  <si>
    <t>Response Sheet ID</t>
  </si>
  <si>
    <t>LabFlow – Summary Report cuối buổi</t>
  </si>
  <si>
    <t>Response Row</t>
  </si>
  <si>
    <t>Thời gian gửi</t>
  </si>
  <si>
    <t>Session ID</t>
  </si>
  <si>
    <t>Email</t>
  </si>
  <si>
    <t>Ca học</t>
  </si>
  <si>
    <t>Lab Coach</t>
  </si>
  <si>
    <t>Chỉ số vận hành</t>
  </si>
  <si>
    <t>Mã số học viên</t>
  </si>
  <si>
    <t>Tên học viên</t>
  </si>
  <si>
    <t>Điểm cộng</t>
  </si>
  <si>
    <t>Giá trị</t>
  </si>
  <si>
    <t>Lý do</t>
  </si>
  <si>
    <t>Trạng thái parse</t>
  </si>
  <si>
    <t>Điểm trung bình</t>
  </si>
  <si>
    <t>Dòng gốc</t>
  </si>
  <si>
    <t>Tổng số report</t>
  </si>
  <si>
    <t>K3-DAY01-LEC-D301</t>
  </si>
  <si>
    <t>maykhanh004@gmail.com</t>
  </si>
  <si>
    <t>Chiều</t>
  </si>
  <si>
    <t>Sai định dạng: cần đủ 4 phần</t>
  </si>
  <si>
    <t>DANH SÁCH ĐIỂM CỘNG LÝ THUYẾT CHIỀU D301 (tích cực giơ tay lên demo)</t>
  </si>
  <si>
    <t>Nguyễn Quốc Anh - 1 - 2A202601079</t>
  </si>
  <si>
    <t>Phạm Quốc Thanh - 1 - 2A202601407</t>
  </si>
  <si>
    <t>Nguyễn Thanh Hoàn - 1 - 2A202601201</t>
  </si>
  <si>
    <t>Đỗ Đức Cường - 3 - 2A20261455</t>
  </si>
  <si>
    <t>Kết quả chung của buổi</t>
  </si>
  <si>
    <t>K3-DAY01-LEC-C401</t>
  </si>
  <si>
    <t>mnquyen26@gmail.com</t>
  </si>
  <si>
    <t>Nguyễn Hoàng Minh - 2A202601229</t>
  </si>
  <si>
    <t>Bùi Đức Lân - 2A202602037</t>
  </si>
  <si>
    <t>Trần Tuấn Trung - 2A202601769</t>
  </si>
  <si>
    <t>Số buổi có case stuck</t>
  </si>
  <si>
    <t>Nguyễn Khánh Toàn - 2A202601843</t>
  </si>
  <si>
    <t>Mức độ tham gia</t>
  </si>
  <si>
    <t>Trần Nguyễn Mỹ Anh - 2A202601019</t>
  </si>
  <si>
    <t>Đinh Xuân Huy - 2A202601894</t>
  </si>
  <si>
    <t>Số buổi cần handoff/follow-up</t>
  </si>
  <si>
    <t>Timestamp</t>
  </si>
  <si>
    <t>( dơ tay phát biểu)</t>
  </si>
  <si>
    <t>haongoc.nguyen2004@gmail.com</t>
  </si>
  <si>
    <t>Mức độ hiểu bài</t>
  </si>
  <si>
    <t>- 2A202601601 - Phạm Sỹ Đức - Phát biểu</t>
  </si>
  <si>
    <t>- 2A202601986 - Phạm Trung Kiên - Phát biểu</t>
  </si>
  <si>
    <t>K3-DAY01-LEC-D302</t>
  </si>
  <si>
    <t>Số buổi có feedback trực tiếp</t>
  </si>
  <si>
    <t>tunm17421@gmail.com</t>
  </si>
  <si>
    <t>1677- Đinh Huy Mạnh - Trong Top 10 kahoots (quiz kiểm tra kiến thức sau bài giảng)</t>
  </si>
  <si>
    <t>Chất lượng tài liệu</t>
  </si>
  <si>
    <t>Email Address</t>
  </si>
  <si>
    <t>1055- Hoàng Văn Nhân - Trong Top 10 kahoots</t>
  </si>
  <si>
    <t>Mã buổi học / Session ID</t>
  </si>
  <si>
    <t>1645 - Lê Minh Khiêm - Trong Top 10 kahoots</t>
  </si>
  <si>
    <t>Số record điểm cộng hợp lệ</t>
  </si>
  <si>
    <t>Tên Lab Coach</t>
  </si>
  <si>
    <t>2025 - Ngô Minh Phong - Trong Top 10 kahoots</t>
  </si>
  <si>
    <t>Kết quả chung của buổi học</t>
  </si>
  <si>
    <t>1519 - Bình An - Trả lời câu hỏi lý thuyết</t>
  </si>
  <si>
    <t>Trạng thái kết thúc buổi</t>
  </si>
  <si>
    <t>Tổng điểm cộng</t>
  </si>
  <si>
    <t>Danh sách học viên được cộng điểm</t>
  </si>
  <si>
    <t>Buổi này có trường hợp bị stuck không?</t>
  </si>
  <si>
    <t>1607 - Dương Hải Long - Trả lời câu hỏi lý thuyết</t>
  </si>
  <si>
    <t>Phạm vi ảnh hưởng</t>
  </si>
  <si>
    <t>Nhóm nguyên nhân</t>
  </si>
  <si>
    <t>1095 - Trần Quốc Trường - Trả lời câu hỏi lý thuyết</t>
  </si>
  <si>
    <t>Số dòng điểm cộng sai định dạng</t>
  </si>
  <si>
    <t>Mức ảnh hưởng cao nhất</t>
  </si>
  <si>
    <t>1805 - Trần Hoàng Quân - Trong Top 10 kahoots</t>
  </si>
  <si>
    <t>Trạng thái cuối buổi của các case stuck</t>
  </si>
  <si>
    <t>Người/nhóm cần tiếp tục xử lý</t>
  </si>
  <si>
    <t>2039 - Nguyễn Tuấn Nam - Trong Top 10 kahoots</t>
  </si>
  <si>
    <t>Chi tiết các case stuck</t>
  </si>
  <si>
    <t>Report theo lớp</t>
  </si>
  <si>
    <t>Số report</t>
  </si>
  <si>
    <t>Deadline follow-up</t>
  </si>
  <si>
    <t>Trạng thái kết thúc</t>
  </si>
  <si>
    <t>1347 - Đình Quang Minh - Trong Top 10 kahoots</t>
  </si>
  <si>
    <t>Trong buổi có nhận được feedback trực tiếp từ học viên không?</t>
  </si>
  <si>
    <t>Feedback tích cực được nhắc đến</t>
  </si>
  <si>
    <t>1103 - Nguyễn Nam Khánh - Top 1 kahoots</t>
  </si>
  <si>
    <t>Điểm học viên thấy khó hoặc chưa tốt</t>
  </si>
  <si>
    <t>Mức độ tham gia của lớp</t>
  </si>
  <si>
    <t>1255 - Đàm Vinh Quang - Trong Top 10 kahoots</t>
  </si>
  <si>
    <t>Mức độ hiểu bài quan sát được</t>
  </si>
  <si>
    <t>1829 - Nguyễn Mạnh Hưng - Trong Top 10 kahoots</t>
  </si>
  <si>
    <t>Nhịp độ buổi học</t>
  </si>
  <si>
    <t>K3-DAY01-LAB-D305</t>
  </si>
  <si>
    <t>dongthanhquandtq@gmail.com</t>
  </si>
  <si>
    <t>Sáng</t>
  </si>
  <si>
    <t>Độ phù hợp của bài lab</t>
  </si>
  <si>
    <t>2A202601983	Phạm Quốc Tuấn	2</t>
  </si>
  <si>
    <t>Chất lượng tài liệu/hướng dẫn</t>
  </si>
  <si>
    <t>Ghi chú hoặc đề xuất cải thiện</t>
  </si>
  <si>
    <t>2A202601821	Lê Quang Huy	2</t>
  </si>
  <si>
    <t>Sau buổi học có việc cần bàn giao hoặc follow-up không?</t>
  </si>
  <si>
    <t>2A202601583	Vũ Thu Huyền	2</t>
  </si>
  <si>
    <t>Nội dung cần bàn giao</t>
  </si>
  <si>
    <t>Xác nhận dữ liệu</t>
  </si>
  <si>
    <t>2A202601977	Nhữ Trọng Thành	2</t>
  </si>
  <si>
    <t>2A202602000	Trần Hoàng Vũ	2</t>
  </si>
  <si>
    <t>Hoàn thành đúng kế hoạch</t>
  </si>
  <si>
    <t>2A202601921	Mai Hồng Sơn	2</t>
  </si>
  <si>
    <t>Hoàn thành nhưng còn việc cần follow-up</t>
  </si>
  <si>
    <t>01409	Ngô Tuấn Hưng	2</t>
  </si>
  <si>
    <t>Không hoàn thành mục tiêu chính</t>
  </si>
  <si>
    <t>2A202601671	Trần Xuân Lộc	2</t>
  </si>
  <si>
    <t>Có sự cố cần Ops/Lecturer xử lý</t>
  </si>
  <si>
    <t>2A202601823	Nguyễn Đức Dũng	3</t>
  </si>
  <si>
    <t xml:space="preserve">DANH SÁCH ĐIỂM CỘNG LÝ THUYẾT CHIỀU D301 (tích cực giơ tay lên demo)
Nguyễn Quốc Anh - 1 - 2A202601079
Phạm Quốc Thanh - 1 - 2A202601407
Nguyễn Thanh Hoàn - 1 - 2A202601201
Đỗ Đức Cường - 3 - 2A20261455 </t>
  </si>
  <si>
    <t>K3-DAY01-LAB-D303</t>
  </si>
  <si>
    <t>Cao Quế Phương - 2A202601111 (share point sequential diagram bài lab, demo lab)</t>
  </si>
  <si>
    <t>Phần lớn hoặc cả lớp</t>
  </si>
  <si>
    <t>Điểm cộng được nhập nhanh trong Form và tự tách sang sheet “Điểm cộng”. Các dòng sai định dạng vẫn được lưu để người quản lý kiểm tra và sửa lại khi cần.</t>
  </si>
  <si>
    <t>Cài đặt môi trường, Hệ thống hoặc hạ tầng, Quản lý thời gian, Wifi - Onboarding - Điểm danh….</t>
  </si>
  <si>
    <t>Vũ Đức Duy - 2A202601023 (demo lab)</t>
  </si>
  <si>
    <t>Trung bình — làm chậm tiến độ</t>
  </si>
  <si>
    <t>K4-DAY01-LEC-C401</t>
  </si>
  <si>
    <t>n.t.tai435@gmail.com</t>
  </si>
  <si>
    <t>Ngô Lưu Quốc Đạt</t>
  </si>
  <si>
    <t>Giơ tay phát biểu</t>
  </si>
  <si>
    <t>OK</t>
  </si>
  <si>
    <t>2014 - Ngô Lưu Quốc Đạt - 1 - Giơ tay phát biểu</t>
  </si>
  <si>
    <t>Vũ Thế Lực</t>
  </si>
  <si>
    <t>2008 - Vũ Thế Lực - 2 - Giơ tay phát biểu</t>
  </si>
  <si>
    <t>Nguyễn Đăng Long</t>
  </si>
  <si>
    <t>1934 - Nguyễn Đăng Long - 2 - Giơ tay phát biểu</t>
  </si>
  <si>
    <t>Nguyễn Đức Anh</t>
  </si>
  <si>
    <t>1788 - Nguyễn Đức Anh - 1 - Giơ tay phát biểu</t>
  </si>
  <si>
    <t>Cao Minh Quang</t>
  </si>
  <si>
    <t>1884 - Cao Minh Quang - 2 - Giơ tay phát biểu</t>
  </si>
  <si>
    <t>Tôi xác nhận đã kiểm tra Session ID, điểm cộng, các case stuck và thông tin follow-up trước khi gửi.</t>
  </si>
  <si>
    <t>Nguyễn Thị Thu Trang</t>
  </si>
  <si>
    <t>1634 - Nguyễn Thị Thu Trang - 1 - Giơ tay phát biểu</t>
  </si>
  <si>
    <t>Lương Bảo Long</t>
  </si>
  <si>
    <t>1682 - Lương Bảo Long - 1 - Giơ tay phát biểu</t>
  </si>
  <si>
    <t>Nguyễn Hoàng Minh - 2A202601229
Bùi Đức Lân - 2A202602037
Trần Tuấn Trung - 2A202601769
Nguyễn Khánh Toàn - 2A202601843
Trần Nguyễn Mỹ Anh - 2A202601019
Đinh Xuân Huy - 2A202601894
( dơ tay phát biểu)</t>
  </si>
  <si>
    <t>Dương Quang Huy</t>
  </si>
  <si>
    <t>1346 - Dương Quang Huy - 1 - Giơ tay phát biểu</t>
  </si>
  <si>
    <t>Hệ thống hoặc hạ tầng, Quản lý thời gian, mạng yếu, ổ điện thiếu</t>
  </si>
  <si>
    <t>Ngô Xuân Ninh</t>
  </si>
  <si>
    <t>1068 - Ngô Xuân Ninh - 1 - Giơ tay phát biểu</t>
  </si>
  <si>
    <t>Phù hợp</t>
  </si>
  <si>
    <t>Nguyễn Tuấn Phong</t>
  </si>
  <si>
    <t>không có</t>
  </si>
  <si>
    <t>1038 - Nguyễn Tuấn Phong - 1 - Giơ tay phát biểu</t>
  </si>
  <si>
    <t>Nguyễn Duy Bách</t>
  </si>
  <si>
    <t>1844 - Nguyễn Duy Bách - 2 - Giơ tay phát biểu</t>
  </si>
  <si>
    <t>Lê Trung Kiên</t>
  </si>
  <si>
    <t>1182 - Lê Trung Kiên - 1 - Giơ tay phát biểu</t>
  </si>
  <si>
    <t>Nhiều nhóm học viên</t>
  </si>
  <si>
    <t>Tool, account hoặc quyền truy cập, Hệ thống hoặc hạ tầng</t>
  </si>
  <si>
    <t>Bùi Xuân Tùng</t>
  </si>
  <si>
    <t>1828 - Bùi Xuân Tùng - 1 - Giơ tay phát biểu</t>
  </si>
  <si>
    <t>Nguyễn Hữu Công</t>
  </si>
  <si>
    <t>1732 - Nguyễn Hữu Công - 1 - Giơ tay phát biểu</t>
  </si>
  <si>
    <t>Hoàng Tuấn Hưng</t>
  </si>
  <si>
    <t>1911 - Hoàng Tuấn Hưng - 2 - Giơ tay phát biểu</t>
  </si>
  <si>
    <t>nguyenthanhdat0124@gmail.com</t>
  </si>
  <si>
    <t>Nguyễn Xuân Hùng</t>
  </si>
  <si>
    <t>1640 - Nguyễn Xuân Hùng - 1 - Giơ tay phát biểu</t>
  </si>
  <si>
    <t>Chưa vào được discord</t>
  </si>
  <si>
    <t>Nguyễn Minh Công</t>
  </si>
  <si>
    <t>1945 - Nguyễn Minh Công - 2 - Giơ tay phát biểu</t>
  </si>
  <si>
    <t>Trần Minh Quân</t>
  </si>
  <si>
    <t>1768 - Trần Minh Quân - 1 - Giơ tay phát biểu</t>
  </si>
  <si>
    <t>Nguyễn Minh Đức</t>
  </si>
  <si>
    <t>sang.phan2409@gmail.com</t>
  </si>
  <si>
    <t>1966 - Nguyễn Minh Đức - 1 - Giơ tay phát biểu</t>
  </si>
  <si>
    <t>Đỗ Đức Tiến</t>
  </si>
  <si>
    <t>Một nhóm học viên</t>
  </si>
  <si>
    <t>1130 - Đỗ Đức Tiến - 1 - Giơ tay phát biểu</t>
  </si>
  <si>
    <t>Quản lý thời gian</t>
  </si>
  <si>
    <t>Dương Văn Kiên</t>
  </si>
  <si>
    <t>1721 - Dương Văn Kiên - 1 - Giơ tay phát biểu</t>
  </si>
  <si>
    <t>Nguyễn Văn Đạt</t>
  </si>
  <si>
    <t>1968 - Nguyễn Văn Đạt - 2 - Giơ tay phát biểu</t>
  </si>
  <si>
    <t>buổi đầu nên các công tác khá mất thời gian giảng dạy của giảng viên</t>
  </si>
  <si>
    <t>Phan Văn Phương</t>
  </si>
  <si>
    <t>2033 - Phan Văn Phương - 1 - Giơ tay phát biểu</t>
  </si>
  <si>
    <t>Sái Hoài Nam</t>
  </si>
  <si>
    <t>1933 - Sái Hoài Nam - 1 - Giơ tay phát biểu</t>
  </si>
  <si>
    <t>- 2A202601601 - Phạm Sỹ Đức - Phát biểu
- 2A202601986 - Phạm Trung Kiên - Phát biểu</t>
  </si>
  <si>
    <t>Hoàng Bảo Huy</t>
  </si>
  <si>
    <t>1440 - Hoàng Bảo Huy - 1 - Giơ tay phát biểu</t>
  </si>
  <si>
    <t>Hệ thống hoặc hạ tầng, Buổi đầu còn lỗi về login các nền tảng, vlearn, github, discord</t>
  </si>
  <si>
    <t>K3-DAY02-LEC-C401</t>
  </si>
  <si>
    <t>2A202601873</t>
  </si>
  <si>
    <t>Nguyễn Quang Huy</t>
  </si>
  <si>
    <t>Phát biểu xây dựng bài</t>
  </si>
  <si>
    <t>2A202601873 - Nguyễn Quang Huy - 2 - Phát biểu xây dựng bài</t>
  </si>
  <si>
    <t>2A202601085</t>
  </si>
  <si>
    <t>Buổi đầu nhiều học viên, đã phải bổ sung ghế từ phòng khác. Những bàn chưa có ổ điện cần bổ sung thêm</t>
  </si>
  <si>
    <t>Đỗ Nhật Minh</t>
  </si>
  <si>
    <t>2A202601085 - Đỗ Nhật Minh - 2 - Phát biểu xây dựng bài</t>
  </si>
  <si>
    <t>2A202601709</t>
  </si>
  <si>
    <t>Trần Huy Hoàng</t>
  </si>
  <si>
    <t>2A202601709 - Trần Huy Hoàng - 2 - Phát biểu xây dựng bài</t>
  </si>
  <si>
    <t>2A202601571</t>
  </si>
  <si>
    <t>Nguyễn Thị Mừng</t>
  </si>
  <si>
    <t xml:space="preserve">1677- Đinh Huy Mạnh - Trong Top 10 kahoots (quiz kiểm tra kiến thức sau bài giảng)
1055- Hoàng Văn Nhân - Trong Top 10 kahoots
1645 - Lê Minh Khiêm - Trong Top 10 kahoots
2025 - Ngô Minh Phong - Trong Top 10 kahoots
1519 - Bình An - Trả lời câu hỏi lý thuyết
1607 - Dương Hải Long - Trả lời câu hỏi lý thuyết
1095 - Trần Quốc Trường - Trả lời câu hỏi lý thuyết
1805 - Trần Hoàng Quân - Trong Top 10 kahoots
2039 - Nguyễn Tuấn Nam - Trong Top 10 kahoots
1347 - Đình Quang Minh - Trong Top 10 kahoots
1103 - Nguyễn Nam Khánh - Top 1 kahoots
1255 - Đàm Vinh Quang - Trong Top 10 kahoots
1829 - Nguyễn Mạnh Hưng - Trong Top 10 kahoots
</t>
  </si>
  <si>
    <t>2A202601571 - Nguyễn Thị Mừng - 1 - Phát biểu xây dựng bài</t>
  </si>
  <si>
    <t>2A202601019</t>
  </si>
  <si>
    <t>Trần Nguyễn Mỹ Anh</t>
  </si>
  <si>
    <t>Cài đặt môi trường, Tool, account hoặc quyền truy cập, Hệ thống hoặc hạ tầng</t>
  </si>
  <si>
    <t>2A202601019 - Trần Nguyễn Mỹ Anh - 1 - Phát biểu xây dựng bài</t>
  </si>
  <si>
    <t>2A202601431</t>
  </si>
  <si>
    <t>Đặng Thái Nam Sơn</t>
  </si>
  <si>
    <t>2A202601431 - Đặng Thái Nam Sơn - 1 - Phát biểu xây dựng bài</t>
  </si>
  <si>
    <t>Các bạn ngồi dãy đầu tiên không có ổ sạc và khó khăn trong việc xem slide bài giảng</t>
  </si>
  <si>
    <t>2A202601599</t>
  </si>
  <si>
    <t>Nguyễn Thành Duy</t>
  </si>
  <si>
    <t>2A202601599 - Nguyễn Thành Duy - 1 - Phát biểu xây dựng bài</t>
  </si>
  <si>
    <t>2A202601325</t>
  </si>
  <si>
    <t>Nguyễn Kim Trung Đức</t>
  </si>
  <si>
    <t>2A202601325 - Nguyễn Kim Trung Đức - 1 - Phát biểu xây dựng bài</t>
  </si>
  <si>
    <t>2A202601313</t>
  </si>
  <si>
    <t>Lê Hồng Đức</t>
  </si>
  <si>
    <t>2A202601983	Phạm Quốc Tuấn	2
2A202601821	Lê Quang Huy	2
2A202601583	Vũ Thu Huyền	2
2A202601977	Nhữ Trọng Thành	2
2A202602000	Trần Hoàng Vũ	2
2A202601921	Mai Hồng Sơn	2
01409	Ngô Tuấn Hưng	2
2A202601671	Trần Xuân Lộc	2
2A202601823	Nguyễn Đức Dũng	3</t>
  </si>
  <si>
    <t>2A202601313 - Lê Hồng Đức - 1 - Phát biểu xây dựng bài</t>
  </si>
  <si>
    <t>2A202601665</t>
  </si>
  <si>
    <t>Lại Thế Rin</t>
  </si>
  <si>
    <t>2A202601665 - Lại Thế Rin - 1 - Phát biểu xây dựng bài</t>
  </si>
  <si>
    <t>2A202601983</t>
  </si>
  <si>
    <t>Phạm Quốc Tuấn</t>
  </si>
  <si>
    <t>2A202601983 - Phạm Quốc Tuấn - 1 - Phát biểu xây dựng bài</t>
  </si>
  <si>
    <t>2A202601713</t>
  </si>
  <si>
    <t>Lương Quốc Khánh</t>
  </si>
  <si>
    <t xml:space="preserve">Cao Quế Phương - 2A202601111 (share point sequential diagram bài lab, demo lab)
Vũ Đức Duy - 2A202601023 (demo lab)
</t>
  </si>
  <si>
    <t>2A202601713 - Lương Quốc Khánh - 1 - Phát biểu xây dựng bài</t>
  </si>
  <si>
    <t>2A202602004</t>
  </si>
  <si>
    <t>Trương Minh Hoàng</t>
  </si>
  <si>
    <t>2A202602004 - Trương Minh Hoàng - 1 - Phát biểu xây dựng bài</t>
  </si>
  <si>
    <t>không</t>
  </si>
  <si>
    <t>2A202601271</t>
  </si>
  <si>
    <t>Trần Dương Tuấn</t>
  </si>
  <si>
    <t>2A202601271 - Trần Dương Tuấn - 1 - Phát biểu xây dựng bài</t>
  </si>
  <si>
    <t>2A202601779</t>
  </si>
  <si>
    <t>Trịnh Quốc Trọng</t>
  </si>
  <si>
    <t>2A202601779 - Trịnh Quốc Trọng - 1 - Phát biểu xây dựng bài</t>
  </si>
  <si>
    <t>2A202601093</t>
  </si>
  <si>
    <t>Trần Xuân Bách</t>
  </si>
  <si>
    <t>2014 - Ngô Lưu Quốc Đạt - 1 - Giơ tay phát biểu
2008 - Vũ Thế Lực - 2 - Giơ tay phát biểu
1934 - Nguyễn Đăng Long - 2 - Giơ tay phát biểu
1788 - Nguyễn Đức Anh - 1 - Giơ tay phát biểu
1884 - Cao Minh Quang - 2 - Giơ tay phát biểu
1634 - Nguyễn Thị Thu Trang - 1 - Giơ tay phát biểu
1682 - Lương Bảo Long - 1 - Giơ tay phát biểu
1346 - Dương Quang Huy - 1 - Giơ tay phát biểu
1068 - Ngô Xuân Ninh - 1 - Giơ tay phát biểu
1038 - Nguyễn Tuấn Phong - 1 - Giơ tay phát biểu
1844 - Nguyễn Duy Bách - 2 - Giơ tay phát biểu
1182 - Lê Trung Kiên - 1 - Giơ tay phát biểu
1828 - Bùi Xuân Tùng - 1 - Giơ tay phát biểu
1732 - Nguyễn Hữu Công - 1 - Giơ tay phát biểu
1911 - Hoàng Tuấn Hưng - 2 - Giơ tay phát biểu
1640 - Nguyễn Xuân Hùng - 1 - Giơ tay phát biểu
1945 - Nguyễn Minh Công - 2 - Giơ tay phát biểu
1768 - Trần Minh Quân - 1 - Giơ tay phát biểu
1966 - Nguyễn Minh Đức - 1 - Giơ tay phát biểu
1130 - Đỗ Đức Tiến - 1 - Giơ tay phát biểu
1721 - Dương Văn Kiên - 1 - Giơ tay phát biểu
1968 - Nguyễn Văn Đạt - 2 - Giơ tay phát biểu
2033 - Phan Văn Phương - 1 - Giơ tay phát biểu
1933 - Sái Hoài Nam - 1 - Giơ tay phát biểu
1440 - Hoàng Bảo Huy - 1 - Giơ tay phát biểu</t>
  </si>
  <si>
    <t>2A202601093 - Trần Xuân Bách - 1 - Phát biểu xây dựng bài</t>
  </si>
  <si>
    <t>K4-DAY01-LAB-D302</t>
  </si>
  <si>
    <t>Kiến thức nền, Cài đặt môi trường, Tài liệu chưa rõ hoặc thiếu, Hệ thống hoặc hạ tầng, Internet, hạ tầng (ổ điện)</t>
  </si>
  <si>
    <t>Hoàng Văn Quang - 2A202601334 - +5</t>
  </si>
  <si>
    <t>Nghiêm trọng — ảnh hưởng nhiều học viên hoặc cả buổi</t>
  </si>
  <si>
    <t>Lê Thị Hải Yến - 2A202601570 - +1</t>
  </si>
  <si>
    <t xml:space="preserve">Wifi, thông tin onboarding đang bị missing, thông tin discord bị miss. </t>
  </si>
  <si>
    <t>Trần Đại Nghĩa - 2A202601328 - +1</t>
  </si>
  <si>
    <t>Lê Đình Việt - 2A202601528 - +1</t>
  </si>
  <si>
    <t>Nguyễn Xuân Đức - 2A202601112 - +1</t>
  </si>
  <si>
    <t>Vũ Hữu An - 2A202601078 - +1</t>
  </si>
  <si>
    <t>2A202601873 - Nguyễn Quang Huy - 2 - Phát biểu xây dựng bài
2A202601085 - Đỗ Nhật Minh - 2 - Phát biểu xây dựng bài
2A202601709 - Trần Huy Hoàng - 2 - Phát biểu xây dựng bài
2A202601571 - Nguyễn Thị Mừng - 1 - Phát biểu xây dựng bài
2A202601019 - Trần Nguyễn Mỹ Anh - 1 - Phát biểu xây dựng bài
2A202601431 - Đặng Thái Nam Sơn - 1 - Phát biểu xây dựng bài
2A202601599 - Nguyễn Thành Duy - 1 - Phát biểu xây dựng bài
2A202601325 - Nguyễn Kim Trung Đức - 1 - Phát biểu xây dựng bài
2A202601313 - Lê Hồng Đức - 1 - Phát biểu xây dựng bài
2A202601665 - Lại Thế Rin - 1 - Phát biểu xây dựng bài
2A202601983 - Phạm Quốc Tuấn - 1 - Phát biểu xây dựng bài
2A202601713 - Lương Quốc Khánh - 1 - Phát biểu xây dựng bài
2A202602004 - Trương Minh Hoàng - 1 - Phát biểu xây dựng bài
2A202601271 - Trần Dương Tuấn - 1 - Phát biểu xây dựng bài
2A202601779 - Trịnh Quốc Trọng - 1 - Phát biểu xây dựng bài
2A202601093 - Trần Xuân Bách - 1 - Phát biểu xây dựng bài</t>
  </si>
  <si>
    <t>Hoàng Đức Linh - 2A202601180 - +1</t>
  </si>
  <si>
    <t>Chưa hiểu yêu cầu bài, Cài đặt môi trường, Tài liệu chưa rõ hoặc thiếu, Hệ thống hoặc hạ tầng, Hạ tầng (ổ điện)</t>
  </si>
  <si>
    <t>Nặng — không thể tiếp tục</t>
  </si>
  <si>
    <t>Nguyễn Đăng Long - 2A202601934 - +2</t>
  </si>
  <si>
    <t>Hơi khó</t>
  </si>
  <si>
    <t>Nguyễn Nhật Quang - 2A202601452 - +2</t>
  </si>
  <si>
    <t>Vương Đức Thoại - 2A202601770 - +1</t>
  </si>
  <si>
    <t>Thầy và labcoach chưa matching với nhau về bài lab</t>
  </si>
  <si>
    <t>Tạ Hồng Quí - 2A202601538 - +3</t>
  </si>
  <si>
    <t>Nguyễn Hoàng Anh - 2A202601186 - +2</t>
  </si>
  <si>
    <t>Nông Ngọc Dương - 2A202601296 - +3</t>
  </si>
  <si>
    <t>Hoàng Văn Quang - 2A202601334 - +5  
Lê Thị Hải Yến - 2A202601570 - +1  
Trần Đại Nghĩa - 2A202601328 - +1  
Lê Đình Việt - 2A202601528 - +1  
Nguyễn Xuân Đức - 2A202601112 - +1  
Vũ Hữu An - 2A202601078 - +1  
Hoàng Đức Linh - 2A202601180 - +1  
Nguyễn Đăng Long - 2A202601934 - +2  
Nguyễn Nhật Quang - 2A202601452 - +2  
Vương Đức Thoại - 2A202601770 - +1  
Tạ Hồng Quí - 2A202601538 - +3  
Nguyễn Hoàng Anh - 2A202601186 - +2  
Nông Ngọc Dương - 2A202601296 - +3  
Vũ Văn Huy - 2A202601342 - +5  
Phó Hiếu Anh - 2A202601312 - +2  
Nguyễn Tuấn Đức - 2A202601380 - +2  
Hoàng Duy Hưng - 2A202601908 - +5</t>
  </si>
  <si>
    <t>Vũ Văn Huy - 2A202601342 - +5</t>
  </si>
  <si>
    <t>Phó Hiếu Anh - 2A202601312 - +2</t>
  </si>
  <si>
    <t>Nguyễn Tuấn Đức - 2A202601380 - +2</t>
  </si>
  <si>
    <t>Hoàng Duy Hưng - 2A202601908 - +5</t>
  </si>
  <si>
    <t>2A202601873 - Nguyễn Quang Huy - 2 - Phát biểu xây dựng bài
2A202601085 - Đỗ Nhật Minh - 2 - Phát biểu xây dựng bài
2A202601709 - Trần Huy Hoàng - 2 - Phát biểu xây dựng bài
2A202601571 - Nguyễn Thị Mừng - 1 - Phát biểu xây dựng bài
2A202601019 - Trần Nguyễn Mỹ Anh - 1 - Phát biểu xây dựng bài
2A202601431 - Đặng Thái Nam Sơn - 1 - Phát biểu xây dựng bài
2A202601599 - Nguyễn Thành Duy - 1 - Phát biểu xây dựng bài
2A202601325 - Nguyễn Kim Trung Đức - 1 - Phát biểu xây dựng bài
2A202601313 - Lê Hồng Đức - 1 - Phát biểu xây dựng bài
2A202601665 - Lại Thế Rin - 1 - Phát biểu xây dựng bài
2A202601983 - Phạm Quốc Tuấn - 1 - Phát biểu xây dựng bài
2A202601713 - Lương Quốc Khánh - 1 - Phát biểu xây dựng bài
2A202602004 - Trương Minh Hoàng - 1 - Phát biểu xây dựng bài
2A202601271 - Trần Dương Tuấn - 1 - Phát biểu xây dựng bài
2A202601779 - Trịnh Quốc Trọng - 1 - Phát biểu xây dựng bài
2A202601093 - Trần Xuân Bách - 1 - Phát biểu xây dựng bài
2A202601703 - Nguyễn Nam Anh - 1 - Phát biểu
2A202601271 - Trần Dương Tuấn - 1 - Phát biểu
2A202601779 - Trịnh Quốc Trọng - 2 - Phát biểu</t>
  </si>
  <si>
    <t>Cài đặt môi trường, Tài liệu chưa rõ hoặc thiếu, Hệ thống hoặc hạ tầng, Hạ tầng (ổ điện)</t>
  </si>
  <si>
    <t>Bài lab của thầy chưa matching với các labcoaches</t>
  </si>
  <si>
    <t>K4-DAY01-LAB-D303</t>
  </si>
  <si>
    <t>Phạm Nam Khánh - 2A202601718
Nguyễn Minh Hiếu -2A202601816</t>
  </si>
  <si>
    <t>ph.votrongtien@gmail.com</t>
  </si>
  <si>
    <t>K3-DAY02-LEC-D302</t>
  </si>
  <si>
    <t>0153 - Phạm Phúc Minh -  - Giơ tay phát biểu
0103 - Nguyễn Đức Nam Khánh -  - Giơ tay phát biểu
1745 - Đào Ngọc Bích -  - Giơ tay phát biểu
1821 - Lê Quang Huy -  - Giơ tay phát biểu
0111 - Cao Quế Phương -  - Giơ tay phát biểu
1921 - Mai Hồng Sơn -  - Giơ tay phát biểu
1279 - Phạm Nguyễn Hùng Nguyên -  - Giơ tay phát biểu
1369 - Trần Quốc Việt -  - Giơ tay phát biểu
2039 - Nguyễn Tuấn Nam -  - Giơ tay phát biểu
1443 - Nguyễn Thành Long -  - Giơ tay phát biểu
1205 - Đỗ Thanh Tùng -  - Giơ tay phát biểu
1695 - Lưu Nhân Triệu Dương -  - Giơ tay phát biểu
1821 - Lê Quang Huy -  - Giơ tay phát biểu
0103 - Nguyễn Đức Nam Khánh -  - Giơ tay phát biểu
1132 - Phạm Bá Huy -  - Giơ tay phát biểu
1805 - Trần Hoàng Quân -  - Giơ tay phát biểu</t>
  </si>
  <si>
    <t>K3-DAY01-LAB-E403</t>
  </si>
  <si>
    <t>Kiến thức nền, Code hoặc syntax</t>
  </si>
  <si>
    <t>2A202601703</t>
  </si>
  <si>
    <t>Nhẹ — vẫn tiếp tục được</t>
  </si>
  <si>
    <t>Nguyễn Nam Anh</t>
  </si>
  <si>
    <t>Phát biểu</t>
  </si>
  <si>
    <t>2A202601703 - Nguyễn Nam Anh - 1 - Phát biểu</t>
  </si>
  <si>
    <t>2A202601271 - Trần Dương Tuấn - 1 - Phát biểu</t>
  </si>
  <si>
    <t>Thiếu ổ điện nối</t>
  </si>
  <si>
    <t>2A202601779 - Trịnh Quốc Trọng - 2 - Phát biểu</t>
  </si>
  <si>
    <t>Phạm Nam Khánh - 2A202601718</t>
  </si>
  <si>
    <t>Nguyễn Minh Hiếu -2A202601816</t>
  </si>
  <si>
    <t>K4-DAY01-LEC-D302</t>
  </si>
  <si>
    <t>0153 - Phạm Phúc Minh -  - Giơ tay phát biểu</t>
  </si>
  <si>
    <t>0103 - Nguyễn Đức Nam Khánh -  - Giơ tay phát biểu</t>
  </si>
  <si>
    <t>1016 - Lê Văn Tuấn -  - Giơ tay phát biểu
1154 - Nguyễn Minh Hiếu -  - Giơ tay phát biểu
1826 - Nguyễn Mai Nhật Anh -  - Giơ tay phát biểu
1334 - Hoàng Văn Quang -  - Giơ tay phát biểu
1016 - Lê Văn Tuấn -  - Giơ tay phát biểu
1016 - Lê Văn Tuấn -  - Top 10 Kahoot
1324 - Trần Hoàng Mai Anh -  - Top 10 Kahoot
1050 - Đặng Văn Nhân -  - Top 10 Kahoot
1718 - Phạm Nam Khánh -  - Top 10 Kahoot
1230 - Lê Mai Việt Hoàng -  - Top 10 Kahoot
1842 - Nguyễn Tuấn Trường -  - Top 10 Kahoot
1306 - Dương Đức Minh -  - Top 10 Kahoot
1568 - Trần Trọng Thịnh -  - Top 10 Kahoot
1126 - Bùi Thái Sơn -  - Top 10 Kahoot
1026 - Nguyễn Thị Trà My -  - Top 10 Kahoot</t>
  </si>
  <si>
    <t>1745 - Đào Ngọc Bích -  - Giơ tay phát biểu</t>
  </si>
  <si>
    <t>1821 - Lê Quang Huy -  - Giơ tay phát biểu</t>
  </si>
  <si>
    <t>0111 - Cao Quế Phương -  - Giơ tay phát biểu</t>
  </si>
  <si>
    <t>1921 - Mai Hồng Sơn -  - Giơ tay phát biểu</t>
  </si>
  <si>
    <t>1279 - Phạm Nguyễn Hùng Nguyên -  - Giơ tay phát biểu</t>
  </si>
  <si>
    <t>1369 - Trần Quốc Việt -  - Giơ tay phát biểu</t>
  </si>
  <si>
    <t>K4-DAY01-LAB-E403</t>
  </si>
  <si>
    <t>2039 - Nguyễn Tuấn Nam -  - Giơ tay phát biểu</t>
  </si>
  <si>
    <t>1443 - Nguyễn Thành Long -  - Giơ tay phát biểu</t>
  </si>
  <si>
    <t>Kiến thức nền, Tool, account hoặc quyền truy cập</t>
  </si>
  <si>
    <t>1205 - Đỗ Thanh Tùng -  - Giơ tay phát biểu</t>
  </si>
  <si>
    <t>1695 - Lưu Nhân Triệu Dương -  - Giơ tay phát biểu</t>
  </si>
  <si>
    <t>1132 - Phạm Bá Huy -  - Giơ tay phát biểu</t>
  </si>
  <si>
    <t>1805 - Trần Hoàng Quân -  - Giơ tay phát biểu</t>
  </si>
  <si>
    <t>1016 - Lê Văn Tuấn -  - Giơ tay phát biểu</t>
  </si>
  <si>
    <t>1154 - Nguyễn Minh Hiếu -  - Giơ tay phát biểu</t>
  </si>
  <si>
    <t>nma2409.na@gmail.com</t>
  </si>
  <si>
    <t>K3-DAY01-LAB-D304</t>
  </si>
  <si>
    <t>1826 - Nguyễn Mai Nhật Anh -  - Giơ tay phát biểu</t>
  </si>
  <si>
    <t>1334 - Hoàng Văn Quang -  - Giơ tay phát biểu</t>
  </si>
  <si>
    <t>Một học viên</t>
  </si>
  <si>
    <t>1016 - Lê Văn Tuấn -  - Top 10 Kahoot</t>
  </si>
  <si>
    <t>1324 - Trần Hoàng Mai Anh -  - Top 10 Kahoot</t>
  </si>
  <si>
    <t>1050 - Đặng Văn Nhân -  - Top 10 Kahoot</t>
  </si>
  <si>
    <t>1718 - Phạm Nam Khánh -  - Top 10 Kahoot</t>
  </si>
  <si>
    <t>1230 - Lê Mai Việt Hoàng -  - Top 10 Kahoot</t>
  </si>
  <si>
    <t>1842 - Nguyễn Tuấn Trường -  - Top 10 Kahoot</t>
  </si>
  <si>
    <t>1306 - Dương Đức Minh -  - Top 10 Kahoot</t>
  </si>
  <si>
    <t>K4-DAY01-LAB-D304</t>
  </si>
  <si>
    <t>1568 - Trần Trọng Thịnh -  - Top 10 Kahoot</t>
  </si>
  <si>
    <t>1126 - Bùi Thái Sơn -  - Top 10 Kahoot</t>
  </si>
  <si>
    <t>1826 -nguyễn mạnh nhật anh - 1 - Chủ động demo, giải thích
1945 - nguyễn minh công - 1- giải thích kiến thức self-attention
1652 - Ngọc Mai - bonus quiz
1194 - Nguyen Tuan Hung - bonus quiz
1140 - Tùng -1 - bonus quiz
1246 - Tấn - 1 - bonus quiz
1126 - Sơn - 1 - bonus quiz
1224 - Giang - 1 - bonus quiz
1568 - Thịnh -1 - bonus quiz
1442 - Nam - 1 - bonus quiz
1050 - Nhân - 1 - bonus quiz
1324 - Mai Anh - 1 - bonus quiz</t>
  </si>
  <si>
    <t>1026 - Nguyễn Thị Trà My -  - Top 10 Kahoot</t>
  </si>
  <si>
    <t>Cài đặt môi trường, Tool, account hoặc quyền truy cập</t>
  </si>
  <si>
    <t>1826 -nguyễn mạnh nhật anh - 1 - Chủ động demo, giải thích</t>
  </si>
  <si>
    <t>1945 - nguyễn minh công - 1- giải thích kiến thức self-attention</t>
  </si>
  <si>
    <t>1652 - Ngọc Mai - bonus quiz</t>
  </si>
  <si>
    <t>1194 - Nguyen Tuan Hung - bonus quiz</t>
  </si>
  <si>
    <t>1140 - Tùng -1 - bonus quiz</t>
  </si>
  <si>
    <t>dtrdat.work@gmail.com</t>
  </si>
  <si>
    <t>Tấn</t>
  </si>
  <si>
    <t>bonus quiz</t>
  </si>
  <si>
    <t>1246 - Tấn - 1 - bonus quiz</t>
  </si>
  <si>
    <t>Sơn</t>
  </si>
  <si>
    <t>1126 - Sơn - 1 - bonus quiz</t>
  </si>
  <si>
    <t>Giang</t>
  </si>
  <si>
    <t xml:space="preserve">1133 - Trần Quang Thành - 2 - Phát biểu
1093 - Trần Xuân Bách - 1 - Phát biểu
1333 - Nguyễn Duy Trọng - 1 - Phát biểu
1889 - Đinh Hoài Nam - 1 - Phát biểu
1603 - Nguyễn Hoàng Tín - 1 - Phát biểu
1779 - Trịnh Quốc Trọng - 2 - Phát biểu
2028 - Hà Ngọc Minh - 1 - Phát biểu
1881 - Bùi Thế Huy - 1 - Phát biểu
1181 - Phạm Thị Thuỳ Linh - 1 - Phát biểu
2004 - Trương Minh Hoàng - 1 - Phát biểu
1819 - Ngô Quang Dũng - 1 - Phát biểu
1257 - Lê Trần Long - 1 - Hoàn thành bài sớm và hỗ trợ các bạn
1325 - Nguyễn Kim Trung Đức - 1 - Phát biểu
1713 - Lương Quốc Khánh - 1 - Phát biểu
1966 - Nguyễn Tuấn Dương - 2 - Lên demo lab
1732 - Nguyễn Hữu Công - 2 - Lên demo lab
1114 - Tạ Quốc Tuấn - 2 - Lên demo lab
1038 - Nguyễn Tuấn Phong - 2 - Lên demo lab
1852 - Lê Khả Chính - 2 - Lên demo lab
1944 - Nguyễn Mạnh Thắng - 2 - Lên demo lab
1488 - Nguyễn Văn Hiệp - 2 - Lên demo lab
1450 - Lý Nhật Huy - 2 - Lên demo lab
1692 - Nguyễn Vũ Hà An - 2 - Lên demo lab
1552 - Nguyễn Duy Thái - 2 - Lên demo lab
1712 - Nguyễn Mai Huy - 2 - Lên demo lab
1462 - Bùi Minh Long - 2 - Lên demo lab
1566 - Đàm Việt Cường - 2 - Lên demo lab
1120 - Nguyễn Quang Huy - 2 - Lên demo lab
1618 - Nguyễn Đức Anh Tuấn - 1 - Phát biểu
1682 - Lương Bảo Long - 1 - Phát biểu
1941 - Nguyễn Hoàng Vũ - 1 - Phát biểu
</t>
  </si>
  <si>
    <t>1224 - Giang - 1 - bonus quiz</t>
  </si>
  <si>
    <t>1568 - Thịnh -1 - bonus quiz</t>
  </si>
  <si>
    <t>Kiến thức nền, Chưa hiểu yêu cầu bài</t>
  </si>
  <si>
    <t>Nam</t>
  </si>
  <si>
    <t>1442 - Nam - 1 - bonus quiz</t>
  </si>
  <si>
    <t>Nhân</t>
  </si>
  <si>
    <t>1050 - Nhân - 1 - bonus quiz</t>
  </si>
  <si>
    <t>Mai Anh</t>
  </si>
  <si>
    <t>1324 - Mai Anh - 1 - bonus quiz</t>
  </si>
  <si>
    <t>Trần Quang Thành</t>
  </si>
  <si>
    <t>1133 - Trần Quang Thành - 2 - Phát biểu</t>
  </si>
  <si>
    <t>nguyendanhthanh.dev@gmail.com</t>
  </si>
  <si>
    <t>1093 - Trần Xuân Bách - 1 - Phát biểu</t>
  </si>
  <si>
    <t>Nguyễn Duy Trọng</t>
  </si>
  <si>
    <t>1333 - Nguyễn Duy Trọng - 1 - Phát biểu</t>
  </si>
  <si>
    <t>Đinh Hoài Nam</t>
  </si>
  <si>
    <t>2A202601133 - Trần Quang Thành - 1 - Hỗ trợ các nhóm khác hoàn thành bài LAB
2A202601093 - Trần Xuân Bách - 1 - Hỗ trợ các nhóm khác hoàn thành bài LAB
2A202601333 - Nguyễn Duy Trọng - 2 - Hỗ trợ các nhóm khác hoàn thành bài LAB và phát biểu
2A202601889 - Đinh Hoài Nam - 1 - Hỗ trợ các nhóm khác hoàn thành bài LAB
2A202601603 - Nguyễn Hoàng Tín - 1 - Hỗ trợ các nhóm khác hoàn thành bài LAB
2A202601779 - Trịnh Quốc Trọng - 2 - Hỗ trợ các nhóm khác hoàn thành bài LAB và phát biểu
2A202602028 - Hà Ngọc Minh - 1 - Hỗ trợ các nhóm khác hoàn thành bài LAB
2A202601881 - Bùi Thế Huy - 1 - Hỗ trợ các nhóm khác hoàn thành bài LAB
2A202601181 - Phạm Thị Thuỳ Linh - 1 - Hỗ trợ các nhóm khác hoàn thành bài LAB
2A202602004 - Trương Minh Hoàng - 1 - Hỗ trợ các nhóm khác hoàn thành bài LAB
2A202601819 - Ngô Quang Dũng - 1 - Hỗ trợ các nhóm khác hoàn thành bài LAB</t>
  </si>
  <si>
    <t>1889 - Đinh Hoài Nam - 1 - Phát biểu</t>
  </si>
  <si>
    <t>Nguyễn Hoàng Tín</t>
  </si>
  <si>
    <t>1603 - Nguyễn Hoàng Tín - 1 - Phát biểu</t>
  </si>
  <si>
    <t>1779 - Trịnh Quốc Trọng - 2 - Phát biểu</t>
  </si>
  <si>
    <t>Hà Ngọc Minh</t>
  </si>
  <si>
    <t>2028 - Hà Ngọc Minh - 1 - Phát biểu</t>
  </si>
  <si>
    <t>Bùi Thế Huy</t>
  </si>
  <si>
    <t>1881 - Bùi Thế Huy - 1 - Phát biểu</t>
  </si>
  <si>
    <t>Phạm Thị Thuỳ Linh</t>
  </si>
  <si>
    <t>1181 - Phạm Thị Thuỳ Linh - 1 - Phát biểu</t>
  </si>
  <si>
    <t>2004 - Trương Minh Hoàng - 1 - Phát biểu</t>
  </si>
  <si>
    <t>2A202601966 - Nguyễn Tuấn Dương - 2 - Demo bài LAB
2A202601732 - Nguyễn Hữu Công - 2 - Demo bài LAB
2A202601114 - Tạ Quốc Tuấn - 2 - Demo bài LAB
2A202601038 - Nguyễn Tuấn Phong - 2 - Demo bài LAB
2A202601852 - Lê Khả Chính - 2 - Demo bài LAB
2A202601944 - Nguyễn Mạnh Thắng - 2 - Demo bài LAB
2A202601488 - Nguyễn Văn Hiệp - 2 - Demo bài LAB
2A202601450 - Lý Nhật Huy - 2 - Demo bài LAB
2A202601692 - Nguyễn Vũ Hà An - 2 - Demo bài LAB
2A202601552 - Nguyễn Duy Thái - 2 - Demo bài LAB
2A202601712 - Nguyễn Mai Huy - 2 - Demo bài LAB
2A202601462 - Bùi Minh Long - 2 - Demo bài LAB
2A202601566 - Đàm Việt Cường - 2 - Demo bài LAB
2A202601120 - Nguyễn Quang Huy - 2 - Demo bài LAB</t>
  </si>
  <si>
    <t>Ngô Quang Dũng</t>
  </si>
  <si>
    <t>1819 - Ngô Quang Dũng - 1 - Phát biểu</t>
  </si>
  <si>
    <t>Kiến thức nền, Cài đặt môi trường</t>
  </si>
  <si>
    <t>Lê Trần Long</t>
  </si>
  <si>
    <t>Hoàn thành bài sớm và hỗ trợ các bạn</t>
  </si>
  <si>
    <t>1257 - Lê Trần Long - 1 - Hoàn thành bài sớm và hỗ trợ các bạn</t>
  </si>
  <si>
    <t>1325 - Nguyễn Kim Trung Đức - 1 - Phát biểu</t>
  </si>
  <si>
    <t>1713 - Lương Quốc Khánh - 1 - Phát biểu</t>
  </si>
  <si>
    <t>Nguyễn Tuấn Dương</t>
  </si>
  <si>
    <t>Lên demo lab</t>
  </si>
  <si>
    <t>1966 - Nguyễn Tuấn Dương - 2 - Lên demo lab</t>
  </si>
  <si>
    <t>nguyenducminh051595@gmail.com</t>
  </si>
  <si>
    <t>1732 - Nguyễn Hữu Công - 2 - Lên demo lab</t>
  </si>
  <si>
    <t>K3-DAY01-LAB-E402</t>
  </si>
  <si>
    <t>Tạ Quốc Tuấn</t>
  </si>
  <si>
    <t>1114 - Tạ Quốc Tuấn - 2 - Lên demo lab</t>
  </si>
  <si>
    <t>1038 - Nguyễn Tuấn Phong - 2 - Lên demo lab</t>
  </si>
  <si>
    <t>Lê Khả Chính</t>
  </si>
  <si>
    <t>1852 - Lê Khả Chính - 2 - Lên demo lab</t>
  </si>
  <si>
    <t>Nguyễn Mạnh Thắng</t>
  </si>
  <si>
    <t>1944 - Nguyễn Mạnh Thắng - 2 - Lên demo lab</t>
  </si>
  <si>
    <t>- lab coach chuẩn bị sẵn ổ lioa</t>
  </si>
  <si>
    <t>Nguyễn Văn Hiệp</t>
  </si>
  <si>
    <t>1488 - Nguyễn Văn Hiệp - 2 - Lên demo lab</t>
  </si>
  <si>
    <t>Lý Nhật Huy</t>
  </si>
  <si>
    <t>26ai.minhnd@vinuni.edu.vn</t>
  </si>
  <si>
    <t>1450 - Lý Nhật Huy - 2 - Lên demo lab</t>
  </si>
  <si>
    <t>K4-DAY01-LAB-E402</t>
  </si>
  <si>
    <t>Nguyễn Vũ Hà An</t>
  </si>
  <si>
    <t>1692 - Nguyễn Vũ Hà An - 2 - Lên demo lab</t>
  </si>
  <si>
    <t>Nguyễn Duy Thái</t>
  </si>
  <si>
    <t>1552 - Nguyễn Duy Thái - 2 - Lên demo lab</t>
  </si>
  <si>
    <t>Nguyễn Mai Huy</t>
  </si>
  <si>
    <t>1712 - Nguyễn Mai Huy - 2 - Lên demo lab</t>
  </si>
  <si>
    <t>Bùi Minh Long</t>
  </si>
  <si>
    <t>1462 - Bùi Minh Long - 2 - Lên demo lab</t>
  </si>
  <si>
    <t>Đàm Việt Cường</t>
  </si>
  <si>
    <t>lab coach nên chuẩn bị sẵn ổ lioah</t>
  </si>
  <si>
    <t>1566 - Đàm Việt Cường - 2 - Lên demo lab</t>
  </si>
  <si>
    <t>1120 - Nguyễn Quang Huy - 2 - Lên demo lab</t>
  </si>
  <si>
    <t>Nguyễn Đức Anh Tuấn</t>
  </si>
  <si>
    <t>1618 - Nguyễn Đức Anh Tuấn - 1 - Phát biểu</t>
  </si>
  <si>
    <t>1682 - Lương Bảo Long - 1 - Phát biểu</t>
  </si>
  <si>
    <t>Nguyễn Hoàng Vũ</t>
  </si>
  <si>
    <t>1941 - Nguyễn Hoàng Vũ - 1 - Phát biểu</t>
  </si>
  <si>
    <t>2A202601133</t>
  </si>
  <si>
    <t>Hỗ trợ các nhóm khác hoàn thành bài LAB</t>
  </si>
  <si>
    <t>2A202601133 - Trần Quang Thành - 1 - Hỗ trợ các nhóm khác hoàn thành bài LAB</t>
  </si>
  <si>
    <t>2A202601093 - Trần Xuân Bách - 1 - Hỗ trợ các nhóm khác hoàn thành bài LAB</t>
  </si>
  <si>
    <t>1407 - Phạm Quốc Thanh - 1 - Demo Lab
1241 - Nguyễn Văn Phong - 1 - Demo Lab
1527 - Hoàng Danh Thái - 1 - Demo Lab
1201 - Nguyễn Thanh Hoàn - 1 - Tham gia hỏi đáp QA
1031 - Lê Thị Yến Nhi - 1 - Demo Lab</t>
  </si>
  <si>
    <t>2A202601333</t>
  </si>
  <si>
    <t>Hỗ trợ các nhóm khác hoàn thành bài LAB và phát biểu</t>
  </si>
  <si>
    <t>2A202601333 - Nguyễn Duy Trọng - 2 - Hỗ trợ các nhóm khác hoàn thành bài LAB và phát biểu</t>
  </si>
  <si>
    <t>Tool, account hoặc quyền truy cập, Có một số bạn bị ngại dơ tay khi hỏi có kiến thức về một phần nào đó không. Lab coach di chuyển nên chủ động nhìn màn hình các bạn đang thao tác để trợ giúp đúng lúc thay vì phải chờ bạn ý dơ tay gọi</t>
  </si>
  <si>
    <t>2A202601889</t>
  </si>
  <si>
    <t>2A202601889 - Đinh Hoài Nam - 1 - Hỗ trợ các nhóm khác hoàn thành bài LAB</t>
  </si>
  <si>
    <t>2A202601603</t>
  </si>
  <si>
    <t>2A202601603 - Nguyễn Hoàng Tín - 1 - Hỗ trợ các nhóm khác hoàn thành bài LAB</t>
  </si>
  <si>
    <t>Lỗi Phoenix
HV đang theo Readme cũ yêu cầu phải zip theo bài lab day 01
Nhu cầu đổi models -&gt; lỗi test case
Vlearn đang bị tách phần nộp bài
Thiếu credit
Thiếu chỗ ngồi
Thiếu ổ điện</t>
  </si>
  <si>
    <t>2A202601779 - Trịnh Quốc Trọng - 2 - Hỗ trợ các nhóm khác hoàn thành bài LAB và phát biểu</t>
  </si>
  <si>
    <t>2A202602028</t>
  </si>
  <si>
    <t>2A202602028 - Hà Ngọc Minh - 1 - Hỗ trợ các nhóm khác hoàn thành bài LAB</t>
  </si>
  <si>
    <t>2A202601881</t>
  </si>
  <si>
    <t>2A202601881 - Bùi Thế Huy - 1 - Hỗ trợ các nhóm khác hoàn thành bài LAB</t>
  </si>
  <si>
    <t>2A202601181</t>
  </si>
  <si>
    <t>2A202601181 - Phạm Thị Thuỳ Linh - 1 - Hỗ trợ các nhóm khác hoàn thành bài LAB</t>
  </si>
  <si>
    <t>1138 - Phan Trọng Đạt - 2 - Demo Lab (Demo đầu tiên)
1124 - Hoàng Thành Vinh - 1 - Demo Lab
1240 - Phạm Hà Anh - 1 - Demo Lab</t>
  </si>
  <si>
    <t>2A202602004 - Trương Minh Hoàng - 1 - Hỗ trợ các nhóm khác hoàn thành bài LAB</t>
  </si>
  <si>
    <t>2A202601819</t>
  </si>
  <si>
    <t>2A202601819 - Ngô Quang Dũng - 1 - Hỗ trợ các nhóm khác hoàn thành bài LAB</t>
  </si>
  <si>
    <t>2A202601966</t>
  </si>
  <si>
    <t>Demo bài LAB</t>
  </si>
  <si>
    <t>2A202601966 - Nguyễn Tuấn Dương - 2 - Demo bài LAB</t>
  </si>
  <si>
    <t>2A202601732</t>
  </si>
  <si>
    <t>2A202601732 - Nguyễn Hữu Công - 2 - Demo bài LAB</t>
  </si>
  <si>
    <t>2A202601114</t>
  </si>
  <si>
    <t>Tổng hợp chung với report của cùng phòng DAY01-K3-E402</t>
  </si>
  <si>
    <t>2A202601114 - Tạ Quốc Tuấn - 2 - Demo bài LAB</t>
  </si>
  <si>
    <t>2A202601038</t>
  </si>
  <si>
    <t>2A202601038 - Nguyễn Tuấn Phong - 2 - Demo bài LAB</t>
  </si>
  <si>
    <t>26ai.hath@vinuni.edu.vn</t>
  </si>
  <si>
    <t>2A202601852</t>
  </si>
  <si>
    <t>2A202601852 - Lê Khả Chính - 2 - Demo bài LAB</t>
  </si>
  <si>
    <t>K3-DAY02-LEC-D301</t>
  </si>
  <si>
    <t>2A202601944</t>
  </si>
  <si>
    <t>2A202601944 - Nguyễn Mạnh Thắng - 2 - Demo bài LAB</t>
  </si>
  <si>
    <t>2A202601241 - Nguyễn Văn Phong - 3
2A202601335 - Đỗ Tuấn Kiệt - 1
2A202601225 - Nguyễn Duy Hải Bằng - 1
2A202601045 - Nguyễn Lê Minh - 1
2A202601879 - Bùi Gia Huy - 1
2A202601455 - Đỗ Đức Cường - 1
2A202601507 - Phạm Khánh Linh - 1
2A20261411 - Trần Thị Vân Anh - 1
2A202601465 - Hà Duyên Hùng - 1
2A202601974 - Nguyễn văn Trường - 1</t>
  </si>
  <si>
    <t>2A202601488</t>
  </si>
  <si>
    <t>2A202601488 - Nguyễn Văn Hiệp - 2 - Demo bài LAB</t>
  </si>
  <si>
    <t>Tài liệu chưa rõ hoặc thiếu</t>
  </si>
  <si>
    <t>2A202601450</t>
  </si>
  <si>
    <t>2A202601450 - Lý Nhật Huy - 2 - Demo bài LAB</t>
  </si>
  <si>
    <t>2A202601692</t>
  </si>
  <si>
    <t>2A202601692 - Nguyễn Vũ Hà An - 2 - Demo bài LAB</t>
  </si>
  <si>
    <t>2A202601552</t>
  </si>
  <si>
    <t>2A202601552 - Nguyễn Duy Thái - 2 - Demo bài LAB</t>
  </si>
  <si>
    <t>Cần check Slide trên LMS vs cả V Learn xem đã vào đc chưa trước buổi học.</t>
  </si>
  <si>
    <t>2A202601712</t>
  </si>
  <si>
    <t>2A202601712 - Nguyễn Mai Huy - 2 - Demo bài LAB</t>
  </si>
  <si>
    <t>2A202601462</t>
  </si>
  <si>
    <t>2A202601462 - Bùi Minh Long - 2 - Demo bài LAB</t>
  </si>
  <si>
    <t>2A202601566</t>
  </si>
  <si>
    <t>K4-DAY01-LEC-D301</t>
  </si>
  <si>
    <t>2A202601566 - Đàm Việt Cường - 2 - Demo bài LAB</t>
  </si>
  <si>
    <t>2A202601120</t>
  </si>
  <si>
    <t>2A202601846 - Lã Phan Hoài An -1
2A202601332 - Hồ Lương An -1
2A202601372 - Nhữ Văn Hùng -1</t>
  </si>
  <si>
    <t>2A202601120 - Nguyễn Quang Huy - 2 - Demo bài LAB</t>
  </si>
  <si>
    <t>Phạm Quốc Thanh</t>
  </si>
  <si>
    <t>Demo Lab</t>
  </si>
  <si>
    <t>1407 - Phạm Quốc Thanh - 1 - Demo Lab</t>
  </si>
  <si>
    <t>Hệ thống hoặc hạ tầng, Chủ yếu là Login vào V Learn vs cả LMS. Một số học viên chưa join đc discord, đã đưa link trực tiếp.</t>
  </si>
  <si>
    <t>Nguyễn Văn Phong</t>
  </si>
  <si>
    <t>1241 - Nguyễn Văn Phong - 1 - Demo Lab</t>
  </si>
  <si>
    <t>Hoàng Danh Thái</t>
  </si>
  <si>
    <t>1527 - Hoàng Danh Thái - 1 - Demo Lab</t>
  </si>
  <si>
    <t>Nguyễn Thanh Hoàn</t>
  </si>
  <si>
    <t>Tham gia hỏi đáp QA</t>
  </si>
  <si>
    <t>Học viên chủ yếu feedback về V Learn, đã cung cấp QR Feedback.</t>
  </si>
  <si>
    <t>1201 - Nguyễn Thanh Hoàn - 1 - Tham gia hỏi đáp QA</t>
  </si>
  <si>
    <t>Lê Thị Yến Nhi</t>
  </si>
  <si>
    <t>1031 - Lê Thị Yến Nhi - 1 - Demo Lab</t>
  </si>
  <si>
    <t>Phan Trọng Đạt</t>
  </si>
  <si>
    <t>26ai.diepnb@vinuni.edu.vn</t>
  </si>
  <si>
    <t>Demo Lab (Demo đầu tiên)</t>
  </si>
  <si>
    <t>1138 - Phan Trọng Đạt - 2 - Demo Lab (Demo đầu tiên)</t>
  </si>
  <si>
    <t>K4-DAY02-LEC-D302</t>
  </si>
  <si>
    <t>Hoàng Thành Vinh</t>
  </si>
  <si>
    <t>1124 - Hoàng Thành Vinh - 1 - Demo Lab</t>
  </si>
  <si>
    <t xml:space="preserve">Phát biểu - 1 điểm cộng
T245 -Lê Đình Việt - 01528
T172-Trương Công Cường-01584
T203 - Hồ Văn Tâm - 01542
T116-Nguyễn Thành Công-01396
T015 - Nguyễn Văn Đức - 01422
T059 - Nguyễn Quang Hà - 01424
T142 - Trần Đại Nghĩa - 01328
T235-Phạm Bá Huy-01132
T196 — Đào Văn Đạt— 01302
T108 - Nhật Anh - 01826
T203-Nguyễn Hoàng Bảo Minh-02601
T203-Nguyễn CôngViệt Quang-01586
T203 - Hồ Văn Tâm - 01542
T204 - Trịnh Đắc Vụ - 01074
T213 - Nguyễn Văn Trọng - 01102
T039 - Lê Văn Tuấn - 01016
T213 - Hoàng Đức Linh - 01180
T164 — Phạm Hải Yến — 01152 — 11:53
T089-Nguyễn Thị Hải Yến-01388 — 11:55
</t>
  </si>
  <si>
    <t>Phạm Hà Anh</t>
  </si>
  <si>
    <t>1240 - Phạm Hà Anh - 1 - Demo Lab</t>
  </si>
  <si>
    <t>2A202601241 - Nguyễn Văn Phong - 3</t>
  </si>
  <si>
    <t>2A202601335 - Đỗ Tuấn Kiệt - 1</t>
  </si>
  <si>
    <t>2A202601225 - Nguyễn Duy Hải Bằng - 1</t>
  </si>
  <si>
    <t>2A202601045 - Nguyễn Lê Minh - 1</t>
  </si>
  <si>
    <t>hathienphu218@gmail.com</t>
  </si>
  <si>
    <t>2A202601879 - Bùi Gia Huy - 1</t>
  </si>
  <si>
    <t>K4-DAY02-LAB-D304</t>
  </si>
  <si>
    <t>2A202601455 - Đỗ Đức Cường - 1</t>
  </si>
  <si>
    <t>2A202601507 - Phạm Khánh Linh - 1</t>
  </si>
  <si>
    <t xml:space="preserve">
5-Nguyễn Văn Thắng - 2A202601580-Demo ý tưởng
5-Đỗ Tú Anh - 2A202601272-Demo ý tưởng
5-Trần Thanh Huyền - 2A202601578-Demo ý tưởng
5-Nguyễn Thị Trà My - 2A202601026-Demo ý tưởng
5-Nguyễn Mai Nhật Anh - 2A202601826-Demo ý tưởng
5-Nguyễn Minh Công - 2A202601945-Demo ý tưởng
5-Nguyễn Thị Hương Trà - 2A202601416-Demo ý tưởng
5-Trần Hoàng Mai Anh 2A202601324-Demo ý tưởng
5-Trần Duy Sơn - 2A202601792-Demo ý tưởng
5-Trần Văn Đông - 2A202601310-Demo ý tưởng
5-Nguyễn Hoàng Đạt-2A202601460-Demo ý tưởng
5-Nguyễn Hữu Tuyến -  2A202601520-Demo ý tưởng
5-Vũ Thành Khang - 2A202601866-Demo ý tưởng
5-Hoàng Trường Giang - 2A202601224-Demo ý tưởng
5-Đoàn Ngọc Duy - 2A202601780-Demo ý tưởng
1-Dương Đức Minh-2A202601306-Phát biểu phản biện
1-Đào Văn Đạt-2A20601302-Phát biểu phản biện
1-Bùi Công Hậu-2A20601877-Phát biểu phản biện
1-Nguyễn Minh Hiếu-2A202601154-Phát biểu phản biện
1-Nguyễn Hữu Tuyến-2A202601520-Phát biểu phản biện</t>
  </si>
  <si>
    <t>2A20261411 - Trần Thị Vân Anh - 1</t>
  </si>
  <si>
    <t>2A202601465 - Hà Duyên Hùng - 1</t>
  </si>
  <si>
    <t>Chưa hiểu yêu cầu bài, Tài liệu chưa rõ hoặc thiếu, Quản lý thời gian</t>
  </si>
  <si>
    <t>2A202601974 - Nguyễn văn Trường - 1</t>
  </si>
  <si>
    <t>2A202601846 - Lã Phan Hoài An -1</t>
  </si>
  <si>
    <t>2A202601332 - Hồ Lương An -1</t>
  </si>
  <si>
    <t>2A202601372 - Nhữ Văn Hùng -1</t>
  </si>
  <si>
    <t>Phát biểu - 1 điểm cộng</t>
  </si>
  <si>
    <t>T245 -Lê Đình Việt - 01528</t>
  </si>
  <si>
    <t>T172-Trương Công Cường-01584</t>
  </si>
  <si>
    <t>T203 - Hồ Văn Tâm - 01542</t>
  </si>
  <si>
    <t>Các bạn K4 lớp D304 hơi trầm,thụ động.Mặc dù đã tổ chức lớp theo các nhóm đấu trực tiếp với để tăng tính cạnh tranh</t>
  </si>
  <si>
    <t>T116-Nguyễn Thành Công-01396</t>
  </si>
  <si>
    <t>T015 - Nguyễn Văn Đức - 01422</t>
  </si>
  <si>
    <t>K4-DAY02-LEC-C401</t>
  </si>
  <si>
    <t>T059 - Nguyễn Quang Hà - 01424</t>
  </si>
  <si>
    <t>T142 - Trần Đại Nghĩa - 01328</t>
  </si>
  <si>
    <t>T235-Phạm Bá Huy-01132</t>
  </si>
  <si>
    <t>T196 — Đào Văn Đạt— 01302</t>
  </si>
  <si>
    <t>T108 - Nhật Anh - 01826</t>
  </si>
  <si>
    <t>K3-DAY03-LEC-C401</t>
  </si>
  <si>
    <t>T203-Nguyễn Hoàng Bảo Minh-02601</t>
  </si>
  <si>
    <t>1301 - Hoàng Quang Minh - 1 - Phát biểu trong giờ
1041 - Phạm Hà Linh - 1 - Phát biểu trong giờ
1271 - Trần Dương Tuấn - 1 - Phát biểu trong giờ
1799 - Bùi Đăng Quốc An - 1 - Phát biểu trong giờ
1659 - Lê Bình Nguyên - 1 - Phát biểu trong giờ
1779 - Trịnh Quốc Trọng - 2 - Phát biểu trong giờ
1739 - Chu Thị Yến Khanh - 2 - Phát biểu trong giờ
1019 - Trần Nguyễn Minh Anh - 1 - Phát biểu trong giờ
1874 - Nguyễn Xuân Phương - 1 - Phát biểu trong giờ
1333 - Nguyễn Duy Trọng - 1 - Phát biểu trong giờ
1703 - Nguyễn Nam Anh - 2 - Phát biểu trong giờ
1373 - Võ Hà Minh Huy - 1 - Phát biểu trong giờ
1675 - Nguyễn Quốc Thịnh - 1 - Phát biểu trong giờ
1769 - Trần Tuấn Trung - 1 - Phát biểu trong giờ
1313 - Lê Hồng Đức - 1 - Phát biểu trong giờ
1779 - Trịnh Quốc Trọng - Demo sản phẩm - Bàn F2
1803 - Lê Kim Nam - Demo sản phẩm - Bàn F2
1399 - Nguyễn Hoài Nam - Demo sản phẩm - Bàn F2
1287 - Đỗ Trung Kiên - Demo sản phẩm - Bàn F2
2031 - Hà Nhật Khánh Duy - Demo sản phẩm - Bàn F2
1321 - Nguyễn Việt Thắng - Demo sản phẩm - Bàn E5
1931 - Nguyễn Chí Hiếu - Demo sản phẩm - Bàn E5
1503 - Lý Minh Hải - Demo sản phẩm - Bàn E5
1301 - Hoàng Quang Minh - Demo sản phẩm - Bàn E5
1683 - Trần Quốc Hùng - Demo sản phẩm - Bàn E5
1707 - Nguyễn Tiến Dung - Demo sản phẩm - Bàn E5</t>
  </si>
  <si>
    <t>T203-Nguyễn CôngViệt Quang-01586</t>
  </si>
  <si>
    <t>T204 - Trịnh Đắc Vụ - 01074</t>
  </si>
  <si>
    <t>T213 - Nguyễn Văn Trọng - 01102</t>
  </si>
  <si>
    <t>tainguyenxuan287@gmail.com</t>
  </si>
  <si>
    <t>K3-DAY01-LEC-D303</t>
  </si>
  <si>
    <t>T039 - Lê Văn Tuấn - 01016</t>
  </si>
  <si>
    <t>T213 - Hoàng Đức Linh - 01180</t>
  </si>
  <si>
    <t xml:space="preserve">Nguyễn Thành Đạt: Nguyễn Lê Quân - 01476
Trọng Tiển: Đàm Vinh Quang - 1255
Bùi Thọ An - 1883
Nguyễn Quang Minh - 1955
</t>
  </si>
  <si>
    <t>T164 — Phạm Hải Yến — 01152 — 11:53</t>
  </si>
  <si>
    <t>T089-Nguyễn Thị Hải Yến-01388 — 11:55</t>
  </si>
  <si>
    <t>5-Nguyễn Văn Thắng - 2A202601580-Demo ý tưởng</t>
  </si>
  <si>
    <t>5-Đỗ Tú Anh - 2A202601272-Demo ý tưởng</t>
  </si>
  <si>
    <t>nguyentike7@gmail.com</t>
  </si>
  <si>
    <t>K4-DAY01-LEC-D303</t>
  </si>
  <si>
    <t>5-Trần Thanh Huyền - 2A202601578-Demo ý tưởng</t>
  </si>
  <si>
    <t>K3 - D303 - Lab 
1773- Trần Việt Bách - giơ tay phát biểu
1521 - Trần Hải Quân - giơ tay phát biểu
K4 - D303 - Lab
1016 Lê Văn Tuấn - giơ tay phát biểu
1718 Phạm Nam Khánh - giơ tay phát biểu</t>
  </si>
  <si>
    <t>5-Nguyễn Thị Trà My - 2A202601026-Demo ý tưởng</t>
  </si>
  <si>
    <t>5-Nguyễn Mai Nhật Anh - 2A202601826-Demo ý tưởng</t>
  </si>
  <si>
    <t>5-Nguyễn Minh Công - 2A202601945-Demo ý tưởng</t>
  </si>
  <si>
    <t>5-Nguyễn Thị Hương Trà - 2A202601416-Demo ý tưởng</t>
  </si>
  <si>
    <t>K3-DAY03-LEC-D302</t>
  </si>
  <si>
    <t>5-Trần Hoàng Mai Anh 2A202601324-Demo ý tưởng</t>
  </si>
  <si>
    <t>Phát biểu - 1 điểm cộng:
T158 - Phạm Phúc Minh
T121 - Lê Quang Huy
T013 - Nguyễn Phú Cường</t>
  </si>
  <si>
    <t>5-Trần Duy Sơn - 2A202601792-Demo ý tưởng</t>
  </si>
  <si>
    <t>5-Trần Văn Đông - 2A202601310-Demo ý tưởng</t>
  </si>
  <si>
    <t>5-Nguyễn Hoàng Đạt-2A202601460-Demo ý tưởng</t>
  </si>
  <si>
    <t>Trần Hoàng Khôi - 01778 - mail trường lỗi
Lại Duy Đông - 01913 - thiết bị gặp vấn đề ko điền form + điểm danh được. Mong muốn đc hỗ trợ điểm danh thủ công
Nguyễn Lê Quân - 01476 quét MyVinuni dùng ios ko được, quét form thì ko có quyền truy cập dù dùng mail của trường, chưa được phát thẻ phòng D303 buổi sáng nay mà cả phòng được phát</t>
  </si>
  <si>
    <t>5-Nguyễn Hữu Tuyến -  2A202601520-Demo ý tưởng</t>
  </si>
  <si>
    <t>minhhai032000@gmail.com</t>
  </si>
  <si>
    <t>5-Vũ Thành Khang - 2A202601866-Demo ý tưởng</t>
  </si>
  <si>
    <t>K4-DAY02-LEC-D301</t>
  </si>
  <si>
    <t>5-Hoàng Trường Giang - 2A202601224-Demo ý tưởng</t>
  </si>
  <si>
    <t>2A202601364 - Đào Bình Minh - Trả lời câu hỏi của giảng viên</t>
  </si>
  <si>
    <t>5-Đoàn Ngọc Duy - 2A202601780-Demo ý tưởng</t>
  </si>
  <si>
    <t>1-Dương Đức Minh-2A202601306-Phát biểu phản biện</t>
  </si>
  <si>
    <t>1-Đào Văn Đạt-2A20601302-Phát biểu phản biện</t>
  </si>
  <si>
    <t>1-Bùi Công Hậu-2A20601877-Phát biểu phản biện</t>
  </si>
  <si>
    <t>K3-DAY03-LEC-D301</t>
  </si>
  <si>
    <t>1-Nguyễn Minh Hiếu-2A202601154-Phát biểu phản biện</t>
  </si>
  <si>
    <t>1-Nguyễn Hữu Tuyến-2A202601520-Phát biểu phản biện</t>
  </si>
  <si>
    <t>Hoàng Quang Minh</t>
  </si>
  <si>
    <t>Phát biểu trong giờ</t>
  </si>
  <si>
    <t>1301 - Hoàng Quang Minh - 1 - Phát biểu trong giờ</t>
  </si>
  <si>
    <t>K3-DAY02-LAB-E402</t>
  </si>
  <si>
    <t>Phạm Hà Linh</t>
  </si>
  <si>
    <t>1041 - Phạm Hà Linh - 1 - Phát biểu trong giờ</t>
  </si>
  <si>
    <t>Nguyễn Quý Dũng - 2A202601200 - +1  
Đặng Minh Quang - 2A202601108 - +1  
Phạm Trung Hiếu - 2A202601834 - +1  
Nguyễn Nhật Minh - 2A202601950 - +1  
Nhữ Văn Hùng - 2A202601372 - +1  
Trần Minh Hiền - 2A202601300 - +1  
Nguyễn Đức Hưng - 2A202601936 - +1  
Nguyễn Tuấn Thành - 2A202601967 - +1  
Nguyễn Ngọc Gia Bảo - 2A202601234 - +1  
Hồ Thúy Hằng - 2A202601806 - +1  
Trần Quí Đôn - 2A202601052 - +1  
Phạm Hà Anh - 2A202601240 - +5  
Nguyễn Văn Nam - 2A202601973 - +5  
Nguyễn Đảm Kiên - 2A202602015 - +5  
Lê Nguyễn Phước Thành - 2A202601032 - +5  
Lê Kim Tính - 2A202601560 - +5  
Trần Chí Hiển - 2A202601162 - +5  
Phan Trọng Đạt - 2A202601138 - +2  
Nguyễn Xuân Quân - 2A202601976 - +2  
Phạm Anh Minh - 2A202601260 - +2  
Phạm Ngọc Quốc Khánh - 2A202601254 - +2  
Vũ Hữu Trường - 2A202601694 - +2  
Trương Quang Minh - 2A202601212 - +2  
Trịnh Hải Đăng - 2A202601602 - +3  
Trần Chí Vũ - 2A202601044 - +3  
Đỗ Thu Liễu - 2A202601898 - +3  
Kiều Phúc Huy - 2A202601056 - +3  
Đỗ Văn Linh - 2A202601190 - +3  
Nguyễn Thanh Bình - 2A202601274 - +3</t>
  </si>
  <si>
    <t>1271 - Trần Dương Tuấn - 1 - Phát biểu trong giờ</t>
  </si>
  <si>
    <t>Bùi Đăng Quốc An</t>
  </si>
  <si>
    <t>1799 - Bùi Đăng Quốc An - 1 - Phát biểu trong giờ</t>
  </si>
  <si>
    <t>Lê Bình Nguyên</t>
  </si>
  <si>
    <t>1659 - Lê Bình Nguyên - 1 - Phát biểu trong giờ</t>
  </si>
  <si>
    <t>Lương Thanh Trang - 2A202601363 - +2  
Nguyễn Thanh Hoàn - 2A202601201 - +2  
Đỗ Tuấn Kiệt - 2A202601335 - +2  
Đỗ Đức Cường - 2A202601455 - +2  
Đỗ Tùng Dương - 2A202601899 - +2  
Trần Thị Thanh Tâm - 2A202601267 - +3  
Huỳnh Hoàng Việt - 2A202601105 - +3  
Nguyễn Văn Tiến - 2A202601433 - +3  
Tạ Thị Nga - 2A202601125 - +3  
Nguyễn Duy Hải Bằng - 2A202601225 - +3  
Nguyễn Việt Linh - 2A202601211 - +1  
Nguyễn Thị Hoàng Yến - 2A202601959 - +1  
Lê Trần Khương Duy - 2A202601349 - +1  
Nguyễn Việt Hùng - 2A202601275 - +1</t>
  </si>
  <si>
    <t>1779 - Trịnh Quốc Trọng - 2 - Phát biểu trong giờ</t>
  </si>
  <si>
    <t>Chu Thị Yến Khanh</t>
  </si>
  <si>
    <t>1739 - Chu Thị Yến Khanh - 2 - Phát biểu trong giờ</t>
  </si>
  <si>
    <t>Trần Nguyễn Minh Anh</t>
  </si>
  <si>
    <t>K4-DAY02-LAB-E402</t>
  </si>
  <si>
    <t>1019 - Trần Nguyễn Minh Anh - 1 - Phát biểu trong giờ</t>
  </si>
  <si>
    <t>Nguyễn Xuân Phương</t>
  </si>
  <si>
    <t>1874 - Nguyễn Xuân Phương - 1 - Phát biểu trong giờ</t>
  </si>
  <si>
    <t>1333 - Nguyễn Duy Trọng - 1 - Phát biểu trong giờ</t>
  </si>
  <si>
    <t>quanganhptit030@gmail.com</t>
  </si>
  <si>
    <t>K3-DAY02-LAB-D304</t>
  </si>
  <si>
    <t>1703 - Nguyễn Nam Anh - 2 - Phát biểu trong giờ</t>
  </si>
  <si>
    <t xml:space="preserve">1175 - Đỗ Hùng Anh - 5 - Bài được đánh giá cao trong lab
1962 - Nguyễn Thị lý - 5 - Bài được đánh giá cao trong lab
1669 - Nguyễn Tuấn Anh - 5 - Bài được đánh giá cao trong lab
1867 - Bùi Gia Uy - 5 - Bài được đánh giá cao trong lab
1589 - La Thị Thanh Tuyết - 5 - Bài được đánh giá cao trong lab
1029 - Đỗ Ngọc Bích - 5 - Bài được đánh giá cao trong lab
</t>
  </si>
  <si>
    <t>Võ Hà Minh Huy</t>
  </si>
  <si>
    <t>1373 - Võ Hà Minh Huy - 1 - Phát biểu trong giờ</t>
  </si>
  <si>
    <t>Kiến thức nền, Chưa hiểu yêu cầu bài, Tài liệu chưa rõ hoặc thiếu</t>
  </si>
  <si>
    <t>Nguyễn Quốc Thịnh</t>
  </si>
  <si>
    <t>1675 - Nguyễn Quốc Thịnh - 1 - Phát biểu trong giờ</t>
  </si>
  <si>
    <t>Trần Tuấn Trung</t>
  </si>
  <si>
    <t>1769 - Trần Tuấn Trung - 1 - Phát biểu trong giờ</t>
  </si>
  <si>
    <t>tranhoangha94@gmail.com</t>
  </si>
  <si>
    <t>1313 - Lê Hồng Đức - 1 - Phát biểu trong giờ</t>
  </si>
  <si>
    <t>K3-DAY02-LAB-D305</t>
  </si>
  <si>
    <t>Bàn F2</t>
  </si>
  <si>
    <t>Sai điểm: phải là số nguyên dương</t>
  </si>
  <si>
    <t xml:space="preserve">3 nhóm đc điểm cao nhất (chấm chéo):
Nguyễn Huy Tỏa -  2A202601697
Phan Văn Hiếu - 2A202601227
Tạ Long Khánh - 2A202601197
Mai Trung Hiếu - 2A202601839
Vũ Đăng Huy - 2A202601761
"Phạm Đình Minh - 2A202601979
Phạm Đức Trung - 2A202601253
Đồng Đại Huy - 2A202601901
Nguyễn Đình Bình - 2A202601091
Nguyễn Quang Tường - 2A202601597"
"Nguyễn Văn Đại - 2A202601245
Trần Hoàng Vũ - 2A202602000
Ngô Minh Phong - 2A202602025
Nguyễn Thùy Trang - 2A202601559"
</t>
  </si>
  <si>
    <t>1779 - Trịnh Quốc Trọng - Demo sản phẩm - Bàn F2</t>
  </si>
  <si>
    <t>Lê Kim Nam</t>
  </si>
  <si>
    <t>1803 - Lê Kim Nam - Demo sản phẩm - Bàn F2</t>
  </si>
  <si>
    <t>Nguyễn Hoài Nam</t>
  </si>
  <si>
    <t>1399 - Nguyễn Hoài Nam - Demo sản phẩm - Bàn F2</t>
  </si>
  <si>
    <t>K4-DAY02-LAB-D305</t>
  </si>
  <si>
    <t>Đỗ Trung Kiên</t>
  </si>
  <si>
    <t>1287 - Đỗ Trung Kiên - Demo sản phẩm - Bàn F2</t>
  </si>
  <si>
    <t>Nhóm piching Demo:
Hoàng Văn Quang - 2A202601334
Nguyễn Thị Việt Vinh - 2A202601836
Vũ Văn Huy - 2A202601342
Trịnh Bá Khánh Trình - 2A202601531
Nguyễn Hoàng Anh - 01186
Đào Kiều Thịnh Quang - 01014
Trần Quang Minh - 01201
Ngô Văn Nam - 01340
Phạm Khắc Khương Duy - 01982
2A202601708 - Nguyễn Văn Hải
2A202601228 - Lê Ngọc Minh 
2A202601452 - Nguyễn Nhật Quang
2A202601538 - Tạ Hồng Quí
2A202601832 - Hồ Thanh Bình
Các nhóm đc điểm cao (chấm chéo):
Nguyễn Văn Thắng	2A202601580
Đỗ Tú Anh	2A202601272
Trần Thanh Huyền	2A202601578
Nguyễn Thị Trà My	2A202601026
Nguyễn Mai Nhật Anh	2A202601826
Nguyễn Minh Công	2A202601945
Nguyễn Thị Hương Trà	2A202601416
Trần Hoàng Mai Anh	2A202601324
Trần Duy Sơn	2A202601792
Trần Văn Đông	2A202601310
Nguyễn Hoàng Đạt	2A202601460
Nguyễn Hữu Tuyến	2A202601520
Vũ Thành Khang	2A202601866
Hoàng Trường Giang	2A202601224
Đoàn Ngọc Duy	2A202601780
Nông Ngọc Dương - 2A202601296  
Nguyễn Việt Phong - 2A202601975           
Lê Trọng Việt Dũng - 2A202601746      
Quang Anh - 2A202601106  
Nguyễn Tuấn Đức - 2A202601380 
Điểm cộng tích cực phát biểu, đặt câu hỏi:
Nguyễn Hoàng Anh- 2A202601186
Vũ Hữu An 2A202601078
Ngô Quang Anh - 2A202601106</t>
  </si>
  <si>
    <t>Hà Nhật Khánh Duy</t>
  </si>
  <si>
    <t>2031 - Hà Nhật Khánh Duy - Demo sản phẩm - Bàn F2</t>
  </si>
  <si>
    <t>Nguyễn Việt Thắng</t>
  </si>
  <si>
    <t>Bàn E5</t>
  </si>
  <si>
    <t>1321 - Nguyễn Việt Thắng - Demo sản phẩm - Bàn E5</t>
  </si>
  <si>
    <t>Nguyễn Chí Hiếu</t>
  </si>
  <si>
    <t>1931 - Nguyễn Chí Hiếu - Demo sản phẩm - Bàn E5</t>
  </si>
  <si>
    <t>hoanq81@gmail.com</t>
  </si>
  <si>
    <t>K4-DAY03-LEC-C401</t>
  </si>
  <si>
    <t>Lý Minh Hải</t>
  </si>
  <si>
    <t>1503 - Lý Minh Hải - Demo sản phẩm - Bàn E5</t>
  </si>
  <si>
    <t>Lưu xuân Dũng 01774 + Anh Lecture có ghi riêng</t>
  </si>
  <si>
    <t>1301 - Hoàng Quang Minh - Demo sản phẩm - Bàn E5</t>
  </si>
  <si>
    <t>Trần Quốc Hùng</t>
  </si>
  <si>
    <t>1683 - Trần Quốc Hùng - Demo sản phẩm - Bàn E5</t>
  </si>
  <si>
    <t>Chưa có quy trình hướng dẫn học viên tự trình chiếu tại bàn, đề xuất có hướng dẫn chi tiết từ Lab Coach và phổ biến lại</t>
  </si>
  <si>
    <t>Nguyễn Tiến Dung</t>
  </si>
  <si>
    <t>1707 - Nguyễn Tiến Dung - Demo sản phẩm - Bàn E5</t>
  </si>
  <si>
    <t>K3-DAY03-LAB-D305</t>
  </si>
  <si>
    <t>Nguyễn Thành Đạt: Nguyễn Lê Quân - 01476</t>
  </si>
  <si>
    <t>Trọng Tiển: Đàm Vinh Quang - 1255</t>
  </si>
  <si>
    <t>Đinh Quang Minh - 2A202601347 - +1  
Mai Hồng Sơn - 2A202601921 - +2  
Nguyễn Thùy Trang - 2A202601559 - +1  
Đào Đức Mạnh - 2A202601833 - +2  
Đàm Lê Minh Quân - 2A202601451 - +2  
Trần Văn Dũng - 2A202601859 - +2  
Lê Quang Huy - 2A202601821 - +2  
Trần Văn Hiếu - 2A202602030 - +3  
Phạm Quốc Tuấn - 2A202601983 - +3  
Trần Trung Hiếu - 2A202602002 - +3  
Trương Công Thái Đức - 2A202601581 - +3  
Nguyễn Đức Dũng - 2A202601823 - +1  
Đặng Đức Hòa - 2A202601351 - +1  
Nguyễn Hải Quân - 2A202601863 - +1  
Lăng Thị Phương Huế - 2A202601915 - +1  
Nguyễn Chí Hướng - 2A202601203 - +1  
Nguyễn Tiến Đạt - 2A202601387 - +1  
Phạm Thị Liên - 2A202601795 - +1  
Lê Thị Linh - 2A202601441 - +1  
Vũ Thu Huyền - 2A202601583 - +1  
Lường Thị Hảo - 2A202601637 - +1  
Nhữ Trọng Thành - 2A202601977 - +1  
Lê Văn Đông - 2A202601851 - +1  
Nguyễn Viết Huy - 2A202601081 - +1  
Phạm Đình Minh - 2A202601979 - +1  
Phạm Đức Trung - 2A202601253 - +1  
Đồng Đại Huy - 2A202601901 - +1  
Nguyễn Đình Bình - 2A202601091 - +1  
Nguyễn Quang Tường - 2A202601597 - +1</t>
  </si>
  <si>
    <t>Bùi Thọ An - 1883</t>
  </si>
  <si>
    <t>Nguyễn Quang Minh - 1955</t>
  </si>
  <si>
    <t>26ai.trongnv@vinuni.edu.vn</t>
  </si>
  <si>
    <t>K3 - D303 - Lab</t>
  </si>
  <si>
    <t>K3-DAY04-LEC-C401</t>
  </si>
  <si>
    <t>1773- Trần Việt Bách - giơ tay phát biểu</t>
  </si>
  <si>
    <t>1431 - Đặng Thái Nam Sơn - 1 - Phát biểu xây dựng bài
1085 - Đỗ Nhật Minh - 1 - Phát biểu xây dựng bài
1709 - Trần Huy Hoang - 1 - Phát biểu xây dựng bài
2004 - Trương Minh Hoàng - 1 - Phát biểu xây dựng bài
1739 - Chu Thị Yến Khanh - 2 - Phát biểu xây dựng bài
1535 - Trần Chí Tâm - 1 - Phát biểu xây dựng bài
1019 - Trần Nguyễn Mỹ Anh - 1 - Phát biểu xây dựng bài
2030 - Trần Văn Hiếu - 1 - Phát biểu xây dựng bài
1894 - Đinh Xuân Huy - 1 - Phát biểu xây dựng bài 
1703 - Nguyễn Nam Anh - 2 - Phát biểu xây dựng bài 
1977 - Nhữ Trọng Thành - 1 - Phát biểu xây dựng bài
1093 - Trần Xuân Bách - 1 - Phát biểu xây dựng bài
2037 - Bùi Đức Lân - 1 - Phát biểu xây dựng bài
1873 - Nguyễn Quang Huy - 1 - Phát biểu xây dựng bài
1381 - Lê Thị Thuý - 1 - Phát biểu xây dựng bài
1843 - Nguyễn Khánh Toàn - 1 - Phát biểu xây dựng bài
1793 - Vũ Ngọc Thiện - 1 - Phát biểu xây dựng bài</t>
  </si>
  <si>
    <t>1521 - Trần Hải Quân - giơ tay phát biểu</t>
  </si>
  <si>
    <t>K4 - D303 - Lab</t>
  </si>
  <si>
    <t>1016 Lê Văn Tuấn - giơ tay phát biểu</t>
  </si>
  <si>
    <t>K4-DAY03-LAB-D305</t>
  </si>
  <si>
    <t>1718 Phạm Nam Khánh - giơ tay phát biểu</t>
  </si>
  <si>
    <t>Phát biểu - 1 điểm cộng:</t>
  </si>
  <si>
    <t>Quân - 2A202601308 - +1  
Nguyễn Việt Phong - 2A202601975 - +2  
Lê Trọng Việt Dũng - 2A202601746 - +2  
Nguyễn Tuấn Đức - 2A202601380 - +2  
Nguyễn Hải Anh - 2A202601670 - +2  
Nguyễn Quý Dương - 2A202601642 - +1  
Hoàng Văn Quang - 2A202601334 - +1  
Hồ Thanh Bình - 2A202601832 - +1  
Lê Ngọc Minh - 2A202601228 - +1  
Nguyễn Văn Hải - 2A202601708 - +1  
Hoàng Thị Trà My - 2A202601290 - +1  
Nguyễn Thị Việt Vinh - 2A202601836 - +1  
Hoàng Duy Hưng - 2A202601908 - +1  
Sẻ Thế Hưng - 2A202601822 - +1  
Trần Đại Nghĩa - 2A202601328 - +1  
Đặng Hữu Khanh - 2A202601104 - +1  
Mai Văn Phương - 2A202601418 - +1  
Ngô Quang Anh - 2A202601106 - +1  
Tô Ngọc Hải - 2A202601686 - +1  
Nông Ngọc Dương - 2A202601296 - +1  
Nguyễn Đức Anh - 2A202601870 - +1  
Lê Thị Hải Yến - 2A202601570 - +1</t>
  </si>
  <si>
    <t>T158 - Phạm Phúc Minh</t>
  </si>
  <si>
    <t>lucas.ai.vn@gmail.com</t>
  </si>
  <si>
    <t>T121 - Lê Quang Huy</t>
  </si>
  <si>
    <t>K4-DAY03-LAB-E403</t>
  </si>
  <si>
    <t>T013 - Nguyễn Phú Cường</t>
  </si>
  <si>
    <t>1107 - Vũ Việt Anh - 1 - Top thuyết trình bài Lab 3 của các Zone
1435 - Kiều Thế Hiệp - 1 - Top thuyết trình bài Lab 3 của các Zone
1341 - Phó Viết Tiến Anh - 1 - Top thuyết trình bài Lab 3 của các Zone
1595 - Trần Bảo Ninh - 1 - Top thuyết trình bài Lab 3 của các Zone
1095 - Phan Trọng Tiến - 1 - Top thuyết trình bài Lab 3 của các Zone
1749 - Nguyễn Văn Duy - 1 - Top thuyết trình bài Lab 3 của các Zone
1547 - Phạm Nguyên Việt - 1 - Top thuyết trình bài Lab 3 của các Zone
1986 - Phạm Trung Kiên - 1 - Top thuyết trình bài Lab 3 của các Zone
1641 - Nguyễn Huy Anh - 1 - Top thuyết trình bài Lab 3 của các Zone
1577 - Hà Tấn Phong - 1 - Top thuyết trình bài Lab 3 của các Zone
1133 - Trần Quang Thành - 1 - Top thuyết trình bài Lab 3 của các Zone
1918 - Lục Minh Đức - 1 - Top thuyết trình bài Lab 3 của các Zone
1217 - Nguyễn Văn Đại - 1 - Top thuyết trình bài Lab 3 của các Zone
1247 - Trần Duy Trường - 1 - Top thuyết trình bài Lab 3 của các Zone
1843 - Nguyễn Khánh Toàn - 1 - Top thuyết trình bài Lab 3 của các Zone
1907 - Hồ Văn Thi - 1 - Top thuyết trình bài Lab 3 của các Zone
1799 - Bùi Đặng Quốc An - 1 - Top thuyết trình bài Lab 3 của các Zone
1165 - Nguyễn Quang Huy - 1 - Top thuyết trình bài Lab 3 của các Zone
1541 - Lê Nguyễn Phi Trường - 1 - Top thuyết trình bài Lab 3 của các Zone
1885 - Cao Thị Thu Trang - 1 - Top thuyết trình bài Lab 3 của các Zone
1271 - Trần Dương Tuấn - 1 - Top thuyết trình bài Lab 3 của các Zone
1665 - Lại Thế Rin - 1 - Top thuyết trình bài Lab 3 của các Zone
1177 - Bùi Linh Đan - 1 - Top thuyết trình bài Lab 3 của các Zone
1389 - Trương Thảo Nguyên - 1 - Top thuyết trình bài Lab 3 của các Zone
1882 - Bùi Thị Như Ngọc - 1 - Top thuyết trình bài Lab 3 của các Zone
1703 - Nguyễn Nam Anh - 1 - Top thuyết trình bài Lab 3 của các Zone
1721 - Cao Nhật Minh - 1 - Top thuyết trình bài Lab 3 của các Zone
1185 - Nguyễn Đức Tín - 1 - Top thuyết trình bài Lab 3 của các Zone
1611 - Trần Anh Thư - 1 - Top thuyết trình bài Lab 3 của các Zone
1663 - Dương Văn Vũ - 1 - Top thuyết trình bài Lab 3 của các Zone
1969 - Nguyễn Văn Đạt - 1 - Top thuyết trình bài Lab 3 của các Zone
1493 - Nguyễn Trọng Toàn - 1 - Top thuyết trình bài Lab 3 của các Zone
1077 - Hoàng Nguyễn Phong - 1 - Top thuyết trình bài Lab 3 của các Zone
1835 - Nguyễn Đình Phúc - 1 - Top thuyết trình bài Lab 3 của các Zone
1099 - Nguyễn Thế Khải - 1 - Top thuyết trình bài Lab 3 của các Zone
1325 - Nguyễn Kim Trung Đức - 1 - Top thuyết trình bài Lab 3 của các Zone
1321 - Nguyễn Việt Thắng - 1 - Top thuyết trình bài Lab 3 của các Zone
2006 - Vũ Minh Đức - 1 - Top thuyết trình bài Lab 3 của các Zone
1313 - Lê Hồng Đức - 1 - Top thuyết trình bài Lab 3 của các Zone
1415 - Nguyễn Đức Thiện - 1 - Top thuyết trình bài Lab 3 của các Zone
1763 - Kim Duy Hưng - 1 - Top thuyết trình bài Lab 3 của các Zone
1033 - Nguyễn Hữu Kiên - 1 - Top thuyết trình bài Lab 3 của các Zone
1155 - Trần Nguyễn Thế Nhật - 1 - Top thuyết trình bài Lab 3 của các Zone
1257 - (chưa có tên) - 1 - Top 3 kiểm tra bài cũ
2036 - (chưa có tên) - 1 - Top 3 kiểm tra bài cũ
1431 - (chưa có tên) - 1 - Top 3 kiểm tra bài cũ</t>
  </si>
  <si>
    <t>Nguyễn Quý Dũng - 2A202601200 - +1</t>
  </si>
  <si>
    <t>Đặng Minh Quang - 2A202601108 - +1</t>
  </si>
  <si>
    <t>Phạm Trung Hiếu - 2A202601834 - +1</t>
  </si>
  <si>
    <t>1. Cần chốt bài lab sớm để chuẩn bị cho hôm sau, lab coach không chỉ cần biết về bài làm mà cần biết cách phân bổ team và những nhắc nhở cần nhắc học viên
2. chơi game nhóm cần rõ về rule chấm tránh bị kiện ngược từ học viên</t>
  </si>
  <si>
    <t>Nguyễn Nhật Minh - 2A202601950 - +1</t>
  </si>
  <si>
    <t>Nhữ Văn Hùng - 2A202601372 - +1</t>
  </si>
  <si>
    <t>Trần Minh Hiền - 2A202601300 - +1</t>
  </si>
  <si>
    <t>Nguyễn Đức Hưng - 2A202601936 - +1</t>
  </si>
  <si>
    <t>Nguyễn Tuấn Thành - 2A202601967 - +1</t>
  </si>
  <si>
    <t>Nguyễn Ngọc Gia Bảo - 2A202601234 - +1</t>
  </si>
  <si>
    <t>Hồ Thúy Hằng - 2A202601806 - +1</t>
  </si>
  <si>
    <t>Trần Quí Đôn - 2A202601052 - +1</t>
  </si>
  <si>
    <t>Phạm Hà Anh - 2A202601240 - +5</t>
  </si>
  <si>
    <t>Nguyễn Văn Nam - 2A202601973 - +5</t>
  </si>
  <si>
    <t>Nguyễn Đảm Kiên - 2A202602015 - +5</t>
  </si>
  <si>
    <t>Lê Nguyễn Phước Thành - 2A202601032 - +5</t>
  </si>
  <si>
    <t>Lê Kim Tính - 2A202601560 - +5</t>
  </si>
  <si>
    <t>K3-DAY03-LAB-E402</t>
  </si>
  <si>
    <t>Trần Chí Hiển - 2A202601162 - +5</t>
  </si>
  <si>
    <t>Phan Trọng Đạt - 2A202601138 - +2</t>
  </si>
  <si>
    <t>2A202601407 - Phạm Quốc Thanh - 1 - phát biểu
2A202601507 - Phạm Khánh Linh - 1 - nhóm demo
2A202601031 - Lê Thị Yến Nhi - 1 - nhóm demo
2A202601241 - Nguyễn Văn Phong - 1 - nhóm demo
2A202601875 - Hoàng Anh Quân - 1 - nhóm demo
2A202601057 - Vũ Huy Hoàng - 1 - nhóm demo
2A202601561 - Nguyễn Ngọc Nam - 1 - phát biểu
2A202601199 - Vũ Nguyễn Quốc Đạt - 1 - phát biểu
2A202601527 - Hoàng Danh Thái - 1 - phát biểu
2A202601363 - Lương Thanh Trang - 1 - nhóm demo
2A202601201 - Nguyễn Thanh Hoàn - 1 - nhóm demo
2A202601455 - Đỗ Đức Cường - 1 - nhóm demo
2A202601335 - Đỗ Tuấn Kiệt - 1 - nhóm demo
2A202601377 - Nguyễn Cao Nam - 1 - nhóm demo
2A202601449 - Trương Công Đạt - 1 - phát biểu
2A202601533 - Hồ Phạm Đức Linh - 1 - phát biểu
2A202601315 - Nguyễn Thị Phương - 1 - phát biểu
2A202601267 - Trần Thị Thanh Tâm - nhóm demo
2A202601105 - Huỳnh Hoàng Việt - nhóm demo
2A202601433 - Nguyễn Văn Tiến - nhóm demo
2A202601125 - Tạ Thị Nga - nhóm demo
2A202601225 - Nguyễn Duy Hải Bằng - nhóm demo
2A202601117 - Đặng Hoàng Hải - 1 - nhóm demo
2A202601401 - Dương Ngọc Tiến - 1 - nhóm demo
2A202601303 - Nguyễn Minh Huy - 1 - nhóm demo
2A202601231 - Ngô Phương Nam - 1 - nhóm demo
2A202601319 - Nguyễn Mạnh Hiệp - 1 - nhóm demo
2A202601035 - Nguyễn Trần Quang Mạnh - 1 - nhóm demo
2A202601259 - Phạm Thành Long - 1 - nhóm demo
2A202601497 - Tạ Minh Đức - 1 - nhóm demo
2A202601997 - Trần Anh Quân - 1 - nhóm demo
2A202601465 - Hà Duyên Hùng - 1 - nhóm demo
2A202601587 - Lê Hà Hải Vân - 1 - nhóm demo</t>
  </si>
  <si>
    <t>Nguyễn Xuân Quân - 2A202601976 - +2</t>
  </si>
  <si>
    <t>Phạm Anh Minh - 2A202601260 - +2</t>
  </si>
  <si>
    <t>Phạm Ngọc Quốc Khánh - 2A202601254 - +2</t>
  </si>
  <si>
    <t>K4-DAY03-LAB-E402</t>
  </si>
  <si>
    <t>Vũ Hữu Trường - 2A202601694 - +2</t>
  </si>
  <si>
    <t>Trương Quang Minh - 2A202601212 - +2</t>
  </si>
  <si>
    <t>2A202602026 - Lê Hồ Quang Huy - 1 - phát biểu
2A202601808 - Nguyễn Thanh Hùng - 1 - phát biểu
2A202602015 - Nguyễn Đàm Kiên - 1 - phát biểu
2A202601560 - Lê Kim Tính - 1 - phát biểu
2A202601332 - Hồ Lương An - 1 - phát biểu
2A202601138 - Phan Trọng Đạt - 1 - phát biểu
2A202601404 - Phạm Tùng Dương - 1 - phát biểu
2A202601454 - Bế Nguyễn Hà Sơn - 1 - phát biểu</t>
  </si>
  <si>
    <t>Trịnh Hải Đăng - 2A202601602 - +3</t>
  </si>
  <si>
    <t>Trần Chí Vũ - 2A202601044 - +3</t>
  </si>
  <si>
    <t>Đỗ Thu Liễu - 2A202601898 - +3</t>
  </si>
  <si>
    <t>Kiều Phúc Huy - 2A202601056 - +3</t>
  </si>
  <si>
    <t>K3-DAY03-LAB-E403</t>
  </si>
  <si>
    <t>Đỗ Văn Linh - 2A202601190 - +3</t>
  </si>
  <si>
    <t>Nguyễn Thanh Bình - 2A202601274 - +3</t>
  </si>
  <si>
    <t xml:space="preserve">0933 - Trần Xuân Bách - 1 - Thuyết trình về agent trước lớp
1333 - Nguyễn Duy Trọng - 1 - Thuyết trình về agent trước lớp
1889 - Đinh Hoài Nam - 1 - Thuyết trình về agent trước lớp
1603 - Nguyễn Hoàng Tín - 1 - Thuyết trình về agent trước lớp
1779 - Trịnh Quốc Trọng - 1 - Thuyết trình về agent trước lớp
1881 - Bùi Thế Huy - 1 - Thuyết trình về agent trước lớp
1181 - Phạm Thị Thuỳ Linh - 1 - Thuyết trình về agent trước lớp
1107 - Vũ Việt Anh - 1 - Thuyết trình về agent trước lớp
1435 - Kiều Thế Hiệp - 1 - Thuyết trình về agent trước lớp
1341 - Phó Viết Tiến Anh - 1 - Thuyết trình về agent trước lớp
1595 - Trần Bảo Ninh - 1 - Thuyết trình về agent trước lớp
1095 - Phan Trọng Tiến - 1 - Thuyết trình về agent trước lớp
1749 - Nguyễn Văn Duy - 1 - Thuyết trình về agent trước lớp
1547 - Phạm Nguyên Việt - 1 - Thuyết trình về agent trước lớp
1986 - Phạm Trung Kiên - 1 - Thuyết trình về agent trước lớp
1641 - Nguyễn Huy Anh - 1 - Thuyết trình về agent trước lớp
1577 - Hà Tấn Phong - 1 - Thuyết trình về agent trước lớp
1133 - Trần Quang Thành - 1 - Thuyết trình về agent trước lớp
1918 - Lục Minh Đức - 1 - Thuyết trình về agent trước lớp
1217 - Nguyễn Văn Đại - 1 - Thuyết trình về agent trước lớp
1247 - Trần Duy Trường - 1 - Thuyết trình về agent trước lớp
1843 - Nguyễn Khánh Toàn - 1 - Thuyết trình về agent trước lớp
1907 - Hồ Văn Thi - 1 - Thuyết trình về agent trước lớp
1799 - Bùi Đặng Quốc An - 1 - Thuyết trình về agent trước lớp
1165 - Nguyễn Quang Huy - 1 - Thuyết trình về agent trước lớp
1541 - Lê Nguyễn Phi Trường - 1 - Thuyết trình về agent trước lớp
1885 - Cao Thị Thu Trang - 1 - Thuyết trình về agent trước lớp
1271 - Trần Dương Tuấn - 1 - Thuyết trình về agent trước lớp
1665 - Lại Thế Rin - 1 - Thuyết trình về agent trước lớp
1177 - Bùi Linh Đan - 1 - Thuyết trình về agent trước lớp
1389 - Trương Thảo Nguyên - 1 - Thuyết trình về agent trước lớp
1882 - Bùi Thị Như Ngọc - 1 - Thuyết trình về agent trước lớp
1703 - Nguyễn Nam Anh - 1 - Thuyết trình về agent trước lớp
1721 - Cao Nhật Minh - 1 - Thuyết trình về agent trước lớp
1185 - Nguyễn Đức Tín - 1 - Thuyết trình về agent trước lớp
1611 - Trần Anh Thư - 1 - Thuyết trình về agent trước lớp
1663 - Dương Văn Vũ - 1 - Thuyết trình về agent trước lớp
1969 - Nguyễn Văn Đạt - 1 - Thuyết trình về agent trước lớp
1493 - Nguyễn Trọng Toàn - 1 - Thuyết trình về agent trước lớp
1077 - Hoàng Nguyễn Phong - 1 - Thuyết trình về agent trước lớp
1835 - Nguyễn Đình Phúc - 1 - Thuyết trình về agent trước lớp
1099 - Nguyễn Thế Khải - 1 - Thuyết trình về agent trước lớp
1325 - Nguyễn Kim Trung Đức - 1 - Thuyết trình về agent trước lớp
1321 - Nguyễn Việt Thắng - 1 - Thuyết trình về agent trước lớp
2006 - Vũ Minh Đức - 1 - Thuyết trình về agent trước lớp
1313 - Lê Hồng Đức - 1 - Thuyết trình về agent trước lớp
1415 - Nguyễn Đức Thiện - 1 - Thuyết trình về agent trước lớp
1763 - Kim Duy Hưng - 1 - Thuyết trình về agent trước lớp
1033 - Nguyễn Hữu Kiên - 1 - Thuyết trình về agent trước lớp
1155 - Trần Nguyễn Thế Nhật - 1 - Thuyết trình về agent trước lớp
1769 - Trần Tuấn Trung - 1 - Thuyết trình về agent trước lớp
1739 - Chu Thị Yến Khanh - 1 - Thuyết trình về agent trước lớp
1545 - Vũ Quang Tùng - 1 - Thuyết trình về agent trước lớp
1689 - Diêm Công Thành - 1 - Thuyết trình về agent trước lớp
1737 - Nguyễn Quốc Việt - 1 - Thuyết trình về agent trước lớp
1873 - Nguyễn Quang Huy - 1 - Thuyết trình về agent trước lớp
2031 - Hà Nhật Khánh Duy - 1 - Thuyết trình về agent trước lớp
1261 - Lã Minh Đức - 1 - Thuyết trình về agent trước lớp
1067 - Lâm Việt Hoàng - 1 - Thuyết trình về agent trước lớp
1709 - Trần Huy Hoàng - 1 - Thuyết trình về agent trước lớp
1807 - Hoàng Tuấn Trung - 1 - Thuyết trình về agent trước lớp
1880 - Bùi Hữu Nghĩa - 1 - Thuyết trình về agent trước lớp
1251 - Nguyễn Văn Hưng - 1 - Thuyết trình về agent trước lớp
1421 - Nguyễn Đình Liêm - 1 - Thuyết trình về agent trước lớp
1257 - Lê Trần Long - 1 - Thuyết trình về agent trước lớp
1161 - Nguyễn Minh Phúc - 1 - Thuyết trình về agent trước lớp
1585 - Thạch Minh Quân - 1 - Thuyết trình về agent trước lớp
1599 - Nguyễn Thành Duy - 1 - Thuyết trình về agent trước lớp
1287 - Đỗ Trung Kiên - 1 - Thuyết trình về agent trước lớp
1065 - Nguyễn Hồng Yến - 1 - Thuyết trình về agent trước lớp
</t>
  </si>
  <si>
    <t>Lương Thanh Trang - 2A202601363 - +2</t>
  </si>
  <si>
    <t>Tool, account hoặc quyền truy cập, Tài liệu chưa rõ hoặc thiếu, Hệ thống hoặc hạ tầng</t>
  </si>
  <si>
    <t>Nguyễn Thanh Hoàn - 2A202601201 - +2</t>
  </si>
  <si>
    <t>Đỗ Tuấn Kiệt - 2A202601335 - +2</t>
  </si>
  <si>
    <t>Đỗ Đức Cường - 2A202601455 - +2</t>
  </si>
  <si>
    <t>Bài lab chia nhóm có nhiều thành viên, khiến các bạn gặp khó khăn trong chia việc và làm việc nhóm. Cần hướng dẫn chi tiết cho bài nhóm đầu tiên về các thông tin như: cách quản lý repo git, cách nộp bài khi làm bài tập nhóm</t>
  </si>
  <si>
    <t>Đỗ Tùng Dương - 2A202601899 - +2</t>
  </si>
  <si>
    <t>Trần Thị Thanh Tâm - 2A202601267 - +3</t>
  </si>
  <si>
    <t>K4-DAY03-LEC-D302</t>
  </si>
  <si>
    <t>Huỳnh Hoàng Việt - 2A202601105 - +3</t>
  </si>
  <si>
    <t xml:space="preserve">01074 - Trịnh Đắc Vụ - 1
01424 - Nguyễn Quang Hà -1
01186 - Nguyễn Hoàng Anh - 3 (Rất tích cực phát biểu và có  câu hỏi/câu trả lời ấn tượng)
01670 - Nguyễn Hải Anh 
01078 - Vũ Hữu An  -3 (Tích cực phát biểu)
01626 - Nguyễn Hoàng Bảo Minh 
01334 - Hoàng Văn Quang 
01256 - Nguyễn Hùng Mạnh  - 3 (Tích cực đặt câu hỏi)
01826 - Nguyễn Mai Nhật Anh 
01506 - Phạm Gia Bảo 
01104 - Đặng Hữu Khanh 
01324 - Trần Hoàng Mai Anh 
01328 - Trần Đại Nghĩa 
01340 - Ngô Văn Nam </t>
  </si>
  <si>
    <t>mic chập chờn, thầy đang giảng bài dở thì bị yêu cầu giảng lại để cho phòng bên cạnh nghe cùng.</t>
  </si>
  <si>
    <t>Nguyễn Văn Tiến - 2A202601433 - +3</t>
  </si>
  <si>
    <t>Tạ Thị Nga - 2A202601125 - +3</t>
  </si>
  <si>
    <t>Nguyễn Duy Hải Bằng - 2A202601225 - +3</t>
  </si>
  <si>
    <t>Nguyễn Việt Linh - 2A202601211 - +1</t>
  </si>
  <si>
    <t>Nguyễn Thị Hoàng Yến - 2A202601959 - +1</t>
  </si>
  <si>
    <t>K3-DAY04-LEC-D302</t>
  </si>
  <si>
    <t>Lê Trần Khương Duy - 2A202601349 - +1</t>
  </si>
  <si>
    <t>01773 - Trần Việt Bách - 
01153 - Phạm Phúc Minh - 
01821  - Lê Quang Huy - 3 (Hay đặt câu hỏi nhưng mà thiên về project cá nhân nhiều hơn là bài học trên lớp)
01655 Nguyễn Tiến - 3 (Người duy nhất demo chat bot nên bonus thêm điểm)</t>
  </si>
  <si>
    <t>Nguyễn Việt Hùng - 2A202601275 - +1</t>
  </si>
  <si>
    <t>Hơi dễ</t>
  </si>
  <si>
    <t>Lớp hơi trầm, nên tăng thêm hoạt động tương tác cho Day 04, làm thêm Kahoot hoặc là tạo ra bài tập trên lớp, cho học viên làm chat bot xong demo, đặt câu hỏi tương tác</t>
  </si>
  <si>
    <t>ai.data.store1@gmail.com</t>
  </si>
  <si>
    <t>K3-DAY03-LAB-D303</t>
  </si>
  <si>
    <t>Danh sách được cộng 2 điểm/bạn - thuyết trình tốt:
Nguyễn Mai Thanh Trúc - 2A202601473
Nguyễn Thị Khánh Ly - 2A202601403
Nguyễn Thị Tuyết Mai - 2A202601693
| 1   | Nguyễn Quang Hưng    | 2A202601523 
| 2   | Lê Minh Khiêm    | 2A202601645 
| 3   | Trần Hoàng Quân       | 2A202601805 
| 4   | Đinh Huy Mạnh  | 2A202601677
Trần Hà Bảo Long - 2A202601189
Đặng Trần Trung Dũng - 2A202601785
Đào Quốc Đại - 2A202601285
Nguyễn Đức Trọng - 2A202601291
Danh sách được cộng 1 điểm / bạn - thuyết trình:
| 1   |Đỗ Thanh Tùng |2A202601205|
| 2   |Trần Hải Quân|2A202601521
| 3   |Hoàng Hải Dương|2A202601337
| 4   |Nguyễn Minh Phương|2A202601947
| 5   |Nguyễn Thành Long|2A202601443
Nguyễn Đăng Nam - 2A202601307
Nguyễn Hữu Tuyền - 2A202601605
Tống Nguyễn Minh Khang - 2A202601101
Đậu Quốc Duy - 2A202601445
Lê Chí Anh Tuấn - 2A202601149</t>
  </si>
  <si>
    <t>K4-DAY03-LEC-D303</t>
  </si>
  <si>
    <t>Mỗi bạn đc cộng 1 điểm - thuyết trình:
Phạm Nam Khánh - 2A202601718
Đinh Hồng Đăng - 2A202601480
Đoàn Tiến Thành - 2A202601222
Nguyễn Ngọc Hiệp - 2A202601156
Nguyễn Đình Quốc    2A202601935
Võ Duy Quang    2A202601268
Nguyễn Đức Thành    2A202601872
Lưu Quang Linh    2A202601084
Lâm Vũ    2A202601914
Nguyễn Trọng Khánh - 2A202602035
Hoàng Tuấn Minh - 2A202601500
Cao Hương Giang - 2A202601420
Lê Văn Tuấn - 2A202601016
Vũ Hoàng Việt - 2A202601250
Phan Văn Hoàng Nam - 2A202601160
Trương Minh Hoàng - 2A202601262
Tạ Kim Ngân - 2A202601258
Phạm Thế Đăng - 2A202601766
Đào Trung Hiếu - 2A202601238
Phạm Hải Yến - 2A202601152
Trần Minh Hiển - 2A202601812
Trần Hoàng Khôi - 2A202601778
Trương Minh Tâm - 2A202602005
Nguyễn Thành Công - 2A202601396
Nguyễn Minh Hiếu - 2A202601816
Nguyễn Văn Đức - 2A202601422
Đào Hải Đăng - 2A202601814
Vũ Xuân Đức - 2A202601668
Nguyễn Tuấn Trường - 2A202601842</t>
  </si>
  <si>
    <t>K3-DAY03-LAB-D304</t>
  </si>
  <si>
    <t>Nguyễn Gia Bảo        2A202601938
Nguyễn Lê Minh        2A202601573
Bùi Tiến Phát         2A202601861
Nguyễn Phú Cường      2A202601771
Dương Hải Long        2A202601607
Nguyễn Xuân Huy       2A202601437
Trần Quốc Việt        2A202601369
Phạm Phúc Minh        2A202601153
Lê Quốc An            2A202601811
Dương Đức Trung       2A202601237</t>
  </si>
  <si>
    <t>K4-DAY03-LAB-D304</t>
  </si>
  <si>
    <t>Nguyễn Minh Đạt          2A202601142
Trần Hoàng Mai Anh       2A202601324
Hà Anh Tuấn              2A202601582
Nguyễn Thị Hương Trà     2A202601416
Thái Hoài An             2A202601862
Nguyễn Hữu Tuyến         2A202601520
Nguyễn Minh Hiếu         2A202601154
Dương Ngọc Hải           2A202601748
Nguyễn Văn Sáng          2A202601252
Nguyễn Tấn Hoàng         2A202601198
Bùi Công Hậu             2A202601877
Bùi Thái Sơn             2A202601126
Đoàn Ngọc Linh           2A202601762
Sái Hoài Nam             2A202601993
Nguyễn Hùng Mạnh         2A202601256
Nguyễn Văn Trọng         2A202601102
Tống Tiến Mạnh           2A202601614
Nguyễn Văn Thắng         2A202601580
Nguyễn Tiến Đạt          2A202601850
Nguyễn Mai Nhật Anh      2A202601826
Nguyễn Minh Đức          2A202601946
Đỗ Tú Anh                2A202601272
Trần Thanh Huyền         2A202601578
Nguyễn Thế Hải Đăng      2A202601957
Nguyễn Thế Nam           2A202601958
Đào Văn Đạt              2A202601302
Nguyễn Thị Kiều Trang    2A202601961
Phạm Hoàng Nam           2A202601442
Đào Duy Hưng             2A202601166</t>
  </si>
  <si>
    <t>nvlinh0607@gmail.com</t>
  </si>
  <si>
    <t>1934 - Nguyễn Đăng Long - 1 - Giải quyết được bài toán showcase của thầy
1916 - Lê Đăng Tấn - 1 - Giải quyết được bài toán showcase của thầy
1956 - Nguyễn Quang Sơn - 1 - Giải quyết được bài toán showcase của thầy
1640 - Nguyễn Xuân Hùng - 1 - Giải quyết được bài toán showcase của thầy
1840 - Phạm Tuấn Anh - 1 - Giải quyết được bài toán showcase của thầy
1436 - Nguyễn Đình Hoàng - 1 - Giải quyết được bài toán showcase của thầy
1790 - Nguyễn Đình Liên Thành - 1 - Giải quyết được bài toán showcase của thầy
1572 - Trần Lương Hoàng Anh - 1 - Giải quyết được bài toán showcase của thầy
1945 - Nguyễn Minh Công - 1 - Giải quyết được bài toán showcase của thầy
1804 - Trần Tuấn Anh - 1 - Giải quyết được bài toán showcase của thầy
1724 - Dương Văn Kiên - 1 - Giải quyết được bài toán showcase của thầy
1410 - Phạm Việt Bách - 1 - Giải quyết được bài toán showcase của thầy
1760 - Trần Kiều Hạnh - 1 - Giải quyết được bài toán showcase của thầy
1772 - Tạ Đăng Đức - 1 - Giải quyết được bài toán showcase của thầy
1914 - Lâm Vũ - 1 - Giải quyết được bài toán showcase của thầy
1384 - Nguyễn Ngọc Lan - 1 - Giải quyết được bài toán showcase của thầy
1470 - Hoàng Hương Giang - 1 - Giải quyết được bài toán showcase của thầy
2033 - Phan Văn Phương - 1 - Giải quyết được bài toán showcase của thầy
1929 - Ngô Văn Linh - 1 - Giải quyết được bài toán showcase của thầy
2008 - Vũ Thế Lực - 1 - Giải quyết được bài toán showcase của thầy
1923 - Nghiêm Quốc Huy - 1 - Giải quyết được bài toán showcase của thầy
1344 - Chu Quang Hiếu - 1 - Giải quyết được bài toán showcase của thầy
1714 - Đinh Đức Anh - 1 - Giải quyết được bài toán showcase của thầy
1628 - Đỗ Quý Đức - 1 - Giải quyết được bài toán showcase của thầy
1594 - Nguyễn Trí Trung - 1 - Giải quyết được bài toán showcase của thầy</t>
  </si>
  <si>
    <t>minhbuicyb@gmail.com</t>
  </si>
  <si>
    <t>K3-DAY04-LAB-D303</t>
  </si>
  <si>
    <t>Đỗ Hùng Anh</t>
  </si>
  <si>
    <t>Bài được đánh giá cao trong lab</t>
  </si>
  <si>
    <t>1175 - Đỗ Hùng Anh - 5 - Bài được đánh giá cao trong lab</t>
  </si>
  <si>
    <t>Danh sách học viên được cộng điểm
1111 - Cao Quế Phương - 4 - Nhóm trình bày, đặt câu hỏi (3 lần)
1623 - Đoàn Quốc Việt - 1 - Đặt câu hỏi
1523 - Nguyễn Quang Hưng - 1 - Nhóm trình bày
1645 - Lê Minh Khiêm - 1 - Nhóm trình bày
1169 - Đàm Minh Tuấn - 1 - Nhóm trình bày
1677 - Đinh Huy Mạnh - 1 - Nhóm trình bày
1813 - Nguyễn Văn Tuấn Anh - 3 - Đặt câu hỏi (3 lần)
1747 - Dương Hoàng Lâm - 2 - Nhóm trình bày, đặt câu hỏi
1279 - Phạm Nguyễn Hùng Nguyên - 1 - Đặt câu hỏi
1815 - Nguyễn Chính Nghĩa - 1 - Đặt câu hỏi
1783 - Trần Tiến Dũng - 2 - Nhóm trình bày, đặt câu hỏi
1543 - Lê Hoàng Việt - 2 - Nhóm trình bày, đặt câu hỏi
1849 - Nguyễn Thiên Tài - 1 - Nhóm trình bày
1655 - Nguyễn Tiến - 1 - Nhóm trình bày
1317 - Trần Thị Hoa Mai - 2 - Nhóm trình bày, đặt câu hỏi
1015 - Lương Thị Linh - 1 - Nhóm trình bày
1681 - Phạm Mai Anh - 1 - Nhóm trình bày
1569 - Ngô Thị Ngọc Phượng - 1 - Nhóm trình bày
1473 - Nguyễn Mai Thanh Trúc - 1 - Nhóm trình bày
1403 - Nguyễn Thị Khánh Ly - 1 - Nhóm trình bày
1693 - Nguyễn Thị Tuyết Mai - 1 - Nhóm trình bày
1205 - Đỗ Thanh Tùng - 2 - Nhóm trình bày, đặt câu hỏi
1521 - Trần Hải Quân - 2 - Nhóm trình bày, đặt câu hỏi
1337 - Hoàng Hải Dương - 1 - Nhóm trình bày
1947 - Nguyễn Minh Phương - 1 - Nhóm trình bày
1443 - Nguyễn Thành Long - 2 - Nhóm trình bày, đặt câu hỏi
1329 - Phạm Đức Hiệp - 1 - Nhóm trình bày
1731 - Lee Jae Sung - 1 - Nhóm trình bày
1023 - Vũ Đức Duy - 1 - Nhóm trình bày
1151 - Nguyễn Trường An - 1 - Nhóm trình bày</t>
  </si>
  <si>
    <t>Nguyễn Thị lý</t>
  </si>
  <si>
    <t>1962 - Nguyễn Thị lý - 5 - Bài được đánh giá cao trong lab</t>
  </si>
  <si>
    <t>Nguyễn Tuấn Anh</t>
  </si>
  <si>
    <t>1669 - Nguyễn Tuấn Anh - 5 - Bài được đánh giá cao trong lab</t>
  </si>
  <si>
    <t>nguyendonghung70@gmail.com</t>
  </si>
  <si>
    <t>K3-DAY04-LAB-E402</t>
  </si>
  <si>
    <t>Bùi Gia Uy</t>
  </si>
  <si>
    <t>1867 - Bùi Gia Uy - 5 - Bài được đánh giá cao trong lab</t>
  </si>
  <si>
    <t>La Thị Thanh Tuyết</t>
  </si>
  <si>
    <t>0199 - Vũ Nguyễn Quốc Đạt - 5 - Phát biểu
1407 - Phạm Quốc Thanh - 7 - Phát biểu + Câu hỏi phụ
1981 - Phạm Đức Thiện - 5 - Phát biểu
1239 - Vũ Tú Quỳnh - 5 - Phát biểu
1225 - Nguyễn Duy Hải Bằng - 5 - Phát biểu
1433 - Nguyễn Văn Tiến - 5 - Phát biểu
1241 - Nguyễn Văn Phong - 4 - Phát biểu
1309 - Nguyễn Quang Khải - 5 - Phát biểu
1233 - Nguyễn Hoàng Biên - 5 - Câu hỏi eval
1221 - Nguyễn Khánh Bảo Châu - 15 - Câu hỏi eval + Demo
1267 - Trần Thị Thanh Tâm - 5 - Tham gia demo trên lớp
1105 - Huỳnh Hoàng Việt - 5 - Tham gia demo trên lớp
1433 - Nguyễn Văn Tiến - 5 - Tham gia demo trên lớp
1125 - Tạ Thị Nga - 5 - Tham gia demo trên lớp
1225 - Nguyễn Duy Hải Bằng - 5 - Tham gia demo trên lớp
1275 - Nguyễn Việt Hùng - 3 - Câu hỏi
1079 - Nguyễn Quốc Anh - 3 - Câu hỏi
1125 - Tạ Thị Nga - 3 - Câu hỏi
1981 - Phạm Đức Thiện - 5 - Tham gia demo trên lớp
1183 - Nguyễn Minh Hùng - 3 - Câu hỏi
1875 - Hoàng Anh Quân - 3 - Câu hỏi
1475 - Trần Nguyễn Anh Minh - 3 - Câu hỏi
1053 - Trần Công Chiến - 5 - Tham gia demo trên lớp
1757 - Phạm Khắc Duy - 5 - Tham gia demo trên lớp
1949 - Nguyễn Ngọc Thuận - 5 - Tham gia demo trên lớp
1031 - Lê Thị Yến Nhi - 7 - Tham gia demo trên lớp
1135 - Nguyễn Lê Duy Hưng - 3 - Câu hỏi
1241 - Nguyễn Văn Phong - 7 - Demo
1241 - Nguyễn Văn Phong - 1 - Câu hỏi
1017 - Nguyễn Thành An - 7 - Demo
1407 - Phạm Quốc Thanh - 7 - Demo
2038 - Vũ Quang Nhật - 7 - Demo
1519 - Đinh Lê Bình An - 5 - Tham gia demo trên lớp
1057 - Vũ Huy Hoàng - 7 - Tham gia demo trên lớp
1045 - Nguyễn Lê Minh - 1 - Câu hỏi
1932 - Nguyễn Chí Quang - 1 - Câu hỏi
1507 - Phạm Khánh Linh - 7 - Tham gia demo trên lớp
1047 - Phạm Văn Tâm - 5 - Tham gia demo trên lớp
1163 - Nguyễn Trần Hội Thắng - 5 - Tham gia demo trên lớp
1039 - Nguyễn Tiến Đạt - 5 - Tham gia demo trên lớp
1163 - Nguyễn Trần Hội Thắng - 1 - Câu hỏi
1201 - Nguyễn Thanh Hoàn - 3 - Chưa rõ lý do cụ thể</t>
  </si>
  <si>
    <t>1589 - La Thị Thanh Tuyết - 5 - Bài được đánh giá cao trong lab</t>
  </si>
  <si>
    <t>Đỗ Ngọc Bích</t>
  </si>
  <si>
    <t>1029 - Đỗ Ngọc Bích - 5 - Bài được đánh giá cao trong lab</t>
  </si>
  <si>
    <t>Cần thêm tiền để thưởng học viên</t>
  </si>
  <si>
    <t>3 nhóm đc điểm cao nhất (chấm chéo):</t>
  </si>
  <si>
    <t>bachdiep.k49ftu@gmail.com</t>
  </si>
  <si>
    <t>Nguyễn Huy Tỏa -  2A202601697</t>
  </si>
  <si>
    <t>Phan Văn Hiếu - 2A202601227</t>
  </si>
  <si>
    <t xml:space="preserve">Cộng 1 điểm phát biểu:
T235-Phạm Bá Huy-01132
T203 - Hồ Văn Tâm - 01542
T211 - Vũ Hữu An - 01078
T213 - Nguyễn Hùng Mạnh - 01256
Hường - 2A202601648
T089-Nguyễn Thị Hải Yến-01388
T085-Nguyễn Trần Gia Phụng-01286
T211 - Vũ Hữu An - 01078
T064 - Trương Ngọc Hải - 01092
T108 - Nhật Anh - 01826
T203 - Hồ Văn Tâm - 01542
T014 - Hoàng Văn Quang - 01334
</t>
  </si>
  <si>
    <t>Tạ Long Khánh - 2A202601197</t>
  </si>
  <si>
    <t>Mai Trung Hiếu - 2A202601839</t>
  </si>
  <si>
    <t>Vũ Đăng Huy - 2A202601761</t>
  </si>
  <si>
    <t>"Phạm Đình Minh - 2A202601979</t>
  </si>
  <si>
    <t>Phạm Đức Trung - 2A202601253</t>
  </si>
  <si>
    <t xml:space="preserve">Cộng 1 điểm phát biểu:
T222 - Phương - 01111
T121 - Lê Quang Huy - 01821
T158 - Phạm Phúc Minh - 01153
</t>
  </si>
  <si>
    <t>Đồng Đại Huy - 2A202601901</t>
  </si>
  <si>
    <t>Nguyễn Đình Bình - 2A202601091</t>
  </si>
  <si>
    <t>Nguyễn Quang Tường - 2A202601597"</t>
  </si>
  <si>
    <t>"Nguyễn Văn Đại - 2A202601245</t>
  </si>
  <si>
    <t>Trần Hoàng Vũ - 2A202602000</t>
  </si>
  <si>
    <t>Ngô Minh Phong - 2A202602025</t>
  </si>
  <si>
    <t>Lương Quốc Khánh - chưa có MSSV - +1  
Ngô Quang Dũng - 2A202601819 - +1  
Chu Thị Yến Khanh - 2A202601739 - +3  
Nguyễn Nam Anh - 2A202601703 - +1  
Đỗ Nhật Minh - 2A202601085 - +1  
Trương Minh Hoàng - 2A202602004 - +1  
Trần Tuấn Trung - 2A202601769 - +1  
Nguyễn Hoài Nam - 2A202602016 - +3  
Nguyễn Hoàng Minh - 2A202601229 - +3  
Nguyễn Minh Nhật - 2A2026101131 - +1  
Nguyễn Duy Trọng - 2A202601333 - +1</t>
  </si>
  <si>
    <t>Nguyễn Thùy Trang - 2A202601559"</t>
  </si>
  <si>
    <t>Do hành vi và thái độ các bạn</t>
  </si>
  <si>
    <t>Nhóm piching Demo:</t>
  </si>
  <si>
    <t>Hoàng Văn Quang - 2A202601334</t>
  </si>
  <si>
    <t>Có một bạn Quang Huy có hành vi và tác phong không chuẩn mực gây phiền cho nhiều người trong lớp</t>
  </si>
  <si>
    <t>Nguyễn Thị Việt Vinh - 2A202601836</t>
  </si>
  <si>
    <t>Vũ Văn Huy - 2A202601342</t>
  </si>
  <si>
    <t>K4-DAY04-LAB-D303</t>
  </si>
  <si>
    <t>Trịnh Bá Khánh Trình - 2A202601531</t>
  </si>
  <si>
    <t>Nguyễn Hoàng Anh - 01186</t>
  </si>
  <si>
    <t>Danh sách học viên được cộng điểm
2035 - Nguyễn Trọng Khánh - 1 - Nhóm trình bày
1500 - Hoàng Tuấn Minh - 1 - Nhóm trình bày
1420 - Cao Hương Giang - 1 - Nhóm trình bày
1016 - Lê Văn Tuấn - 2 - Nhóm trình bày, đặt câu hỏi
1250 - Vũ Hoàng Việt - 1 - Nhóm trình bày
1935 - Nguyễn Đình Quốc - 1 - Nhóm trình bày
1872 - Nguyễn Đức Thành - 1 - Nhóm trình bày
1914 - Lâm Vũ - 1 - Nhóm trình bày
1276 - Thái Nguyễn Hoàng Bách - 1 - Nhóm trình bày
1816 - Nguyễn Minh Hiếu - 1 - Nhóm trình bày
1422 - Nguyễn Văn Đức - 1 - Nhóm trình bày
1814 - Đào Hải Đăng - 1 - Nhóm trình bày
1668 - Vũ Xuân Đức - 1 - Nhóm trình bày
1842 - Nguyễn Tuấn Trường - 1 - Nhóm trình bày
1160 - Phan Văn Hoàng Nam - 1 - Nhóm trình bày
1262 - Trương Minh Hoàng - 7 - Nhóm trình bày, đặt câu hỏi (6 lần)
1258 - Tạ Kim Ngân - 1 - Nhóm trình bày
1766 - Phạm Thế Đăng - 1 - Nhóm trình bày
1238 - Đào Trung Hiếu - 1 - Nhóm trình bày
1388 - Nguyễn Thị Hải Yến - 1 - Nhóm trình bày
1248 - Lê Nguyễn Minh Quang - 1 - Nhóm trình bày
1396 - Nguyễn Thành Công - 1 - Nhóm trình bày
1156 - Nguyễn Ngọc Hiệp - 1 - Nhóm trình bày
1222 - Đoàn Tiến Thành - 1 - Nhóm trình bày
1506 - Phạm Gia Bảo - 1 - Nhóm trình bày
1722 - Vũ Ngọc Hùng - 1 - Nhóm trình bày
1150 - Nguyễn Thị Thanh Hiền - 1 - Nhóm trình bày
1586 - Nguyễn Công Việt Quang - 1 - Nhóm trình bày
1278 - Đỗ Thành Đạt - 1 - Nhóm trình bày
1648 - Trần Thị Hường - 1 - Nhóm trình bày</t>
  </si>
  <si>
    <t>Đào Kiều Thịnh Quang - 01014</t>
  </si>
  <si>
    <t>Trần Quang Minh - 01201</t>
  </si>
  <si>
    <t>Ngô Văn Nam - 01340</t>
  </si>
  <si>
    <t>Phạm Khắc Khương Duy - 01982</t>
  </si>
  <si>
    <t>K4-DAY04-LAB-E402</t>
  </si>
  <si>
    <t>2A202601708 - Nguyễn Văn Hải</t>
  </si>
  <si>
    <t>01967_Nguyễn Tuấn Thành_3_Tham gia trả lời câu hỏi đầu buổi
01212_Trương Quang Minh_3_Tham gia trả lời câu hỏi
01260_Phạm Anh Minh_ 3_Top 4 Kahoot
01124_Hoàng Thành Vinh_5_Top 1 Kahoot
01138_Phan Trọng Đạt_3_Top 5 Kahoot
01927_Ngô Minh Khôi_ 3_Tham gia đặt câu hỏi cho team khác
01072_Phạm Tuấn Anh_7_Tham gia demo đầu tiên
01024_Ngô Trọng Bảo_ 7_Tham gia demo đầu tiên
01995_Tống Duy An_7_Tham gia demo đầu tiên
01364_Đào Bình Minh_ 7_Tham gia demo đầu tiên
01926_Ngô Mạnh Minh Huy_7_Tham gia demo đầu tiên
01212_Trương Quang Minh_3_Tham gia trả lời câu hỏi phản biện nhóm
01782_Tạ Thị Thu Huyền_3_Đặt câu hỏi cho nhóm demo thứ 3
01782_Tạ Thị Thu Huyền_3_Đặt câu hỏi cho nhóm demo thứ 5
01364_Đào Bình Minh_ 1_Đặt câu hỏi 
01590_Lê Ngô Thanh Toàn_5_Tham gia demo thứ 2
01234_Nguyễn Ngọc Gia Bảo_5_Tham gia demo thứ 2
02026_Lê Hồ Quang Huy_3_Đặt câu hỏi cho nhóm demo thứ 2
01052_Trần Quí Đôn _5_Tham gia demo thứ 2
01967_Nguyễn Tuấn Thành_5_Tham gia demo thứ 2
01234_Nguyễn Ngọc Gia Bảo_1_Đặt câu hỏi cho nhóm demo thứ 3
01052_Trần Quí Đôn_1_Đặt câu hỏi cho nhóm demo thứ 3
01052_Trần Quí Đôn_3_Đặt câu hỏi cho nhóm demo thứ 5
01234_Nguyễn Ngọc Gia Bảo_3_Đặt câu hỏi cho nhóm demo thứ 5
01254_Phạm Ngọc Quốc Khánh_7_Tham gia demo thứ 3
01212_Trương Quang Minh_7_Tham gia demo thứ 3
01694_Vũ Hữu Trường_7_Tham gia demo thứ 3
01054_Hoàng Trung Hải_7_Tham gia demo thứ 3
01076_Hoàng Vũ Trung Nguyên_7_Tham gia demo thứ 3
01260_Phạm Anh Minh_7_Tham gia demo thứ 3
01076_Hoàng Vũ Trung Nguyên_3_Đặt câu hỏi cho nhóm demo 4
02017 - Nguyễn Phú Quang_3_Đặt câu hỏi cho nhóm demo 4
01498_trần thị kiều trang_5_tham gia demo4
01474_nguyễn phương đông_5_tham gia demo4
01950_nguyễn nhật minh _5_tham gia demo4
01200_nguyễn quý dũng_5_tham gia demo4
01848_Hoàng Thanh Sơn_5_tham gia demo5
01448_Vũ Bảo Chinh_5_tham gia demo5
01376_Trịnh Hoàng Nam_5_ tham gia demo5
02034_Đinh Hoàng Quân_5_tham gia demo5
01925_Ngô Huy Hoàn_3_Đặt câu hỏi nhóm demo 5
01933_Nguyễn Đại Quân_3_đặt câu hỏi cho nhóm demo5</t>
  </si>
  <si>
    <t>2A202601228 - Lê Ngọc Minh</t>
  </si>
  <si>
    <t>2A202601452 - Nguyễn Nhật Quang</t>
  </si>
  <si>
    <t>2A202601538 - Tạ Hồng Quí</t>
  </si>
  <si>
    <t>2A202601832 - Hồ Thanh Bình</t>
  </si>
  <si>
    <t>K3-DAY04-LAB-D304</t>
  </si>
  <si>
    <t>Các nhóm đc điểm cao (chấm chéo):</t>
  </si>
  <si>
    <t>1735 - Nguyễn Anh Trà - 5 - Top 1 Kahoot
1055 - Hoàng Văn Nhân - 3 - Top 2 Kahoot
1938 - Nguyễn Gia Bảo - 1 - Top 3 Kahoot
1311 - Hoàng Huyền Trang - 1 - Tham gia nhóm Demo
1912 - Huỳnh Thị Hải Châu - 1 - Tham gia nhóm Demo
1621 - Đinh Thị Diễm Quỳnh - 1 - Tham gia nhóm Demo
1043 - Tô Minh Đức - 1 - Tham gia nhóm Demo
1837 - Phạm Văn Sâm - 1 - Tham gia nhóm Demo
1379 - Nguyễn Đỗ Khải Hoàn - 1 - Tham gia nhóm Demo
1537 - Nguyễn Văn Duy - 1 - Tham gia nhóm Demo
1481 - Vương Trần Hoàn - 1 - Tham gia nhóm Demo
1153 - Phạm Phúc Minh - 1 - Tham gia nhóm Demo
1237 - Dương Đức Trung - 1 - Tham gia nhóm Demo
1437 - Nguyễn Xuân Huy - 1 - Tham gia nhóm Demo
1369 - Trần Quốc Việt - 1 - Tham gia nhóm Demo
1153 - Phạm Phúc Minh - 2 - Đặt câu hỏi
1897 - Đỗ Thế Việt - 1 - Đặt câu hỏi
1153 - Đoàn Đình Đông - 1 - Đặt câu hỏi
1912 - Huỳnh Thị Hải Châu - 1 - Đặt câu hỏi
1711 - Lê Văn Long - 1 - Đặt câu hỏi
1103 - Nguyễn Đức Nam Khánh - 1 - Đặt câu hỏi
1459 - Đặng Quang Minh - 1 - Đặt câu hỏi
1905 - Hán Vũ Long - 1 - Đặt câu hỏi
1055 - Hoàng Văn Nhân - 1 - Đặt câu hỏi</t>
  </si>
  <si>
    <t>Nguyễn Văn Thắng	2A202601580</t>
  </si>
  <si>
    <t>Đỗ Tú Anh	2A202601272</t>
  </si>
  <si>
    <t>Trần Thanh Huyền	2A202601578</t>
  </si>
  <si>
    <t>Nguyễn Thị Trà My	2A202601026</t>
  </si>
  <si>
    <t>None</t>
  </si>
  <si>
    <t>Nguyễn Mai Nhật Anh	2A202601826</t>
  </si>
  <si>
    <t>Nguyễn Minh Công	2A202601945</t>
  </si>
  <si>
    <t>K4-DAY04-LAB-D304</t>
  </si>
  <si>
    <t>Nguyễn Thị Hương Trà	2A202601416</t>
  </si>
  <si>
    <t>Trần Hoàng Mai Anh	2A202601324</t>
  </si>
  <si>
    <t>Trần Duy Sơn	2A202601792</t>
  </si>
  <si>
    <t>1945 - Nguyễn Minh Công - 5 - Top 1 Kahoot
1050 - Đặng Văn Nhân - 3 - Top 2 Kahoot
1324 - Trần Hoàng Mai Anh - 1 - Top 3 Kahoot
1126 - Bùi Thái Sơn - 1 - Tham gia nhóm Demo
1198 - Nguyễn Tấn Hoàng - 1 - Tham gia nhóm Demo
1026 - Nguyễn Thị Trà My - 1 - Tham gia nhóm Demo
1762 - Đoàn Ngọc Linh - 1 - Tham gia nhóm Demo
1826 - Nguyễn Mai Nhật Anh - 1 - Tham gia nhóm Demo
1194 - Nguyễn Tuấn Hùng - 1 - Tham gia nhóm Demo
1568 - Trần Trọng Thịnh - 1 - Tham gia nhóm Demo
1368 - Phạm Hoàng Anh - 1 - Tham gia nhóm Demo
1202 - Bùi Xuân Hòa - 1 - Tham gia nhóm Demo
1256 - Nguyễn Hùng Mạnh - 1 - Tham gia nhóm Demo
1102 - Nguyễn Văn Trọng - 1 - Tham gia nhóm Demo
1310 - Trần Văn Đông - 1 - Tham gia nhóm Demo
1877 - Bùi Công Hậu - 1 - Tham gia nhóm Demo
1132 - Phạm Bá Huy - 1 - Tham gia nhóm Demo
1934 - Nguyễn Anh Đức - 1 - Tham gia nhóm Demo
1820 - Bùi Đức Hiếu - 1 - Tham gia nhóm Demo
1482 - Lăng Nhật Minh - 1 - Tham gia nhóm Demo
1993 - Sái Hoài Nam - 1 - Đặt câu hỏi
1520 - Nguyễn Hữu Tuyến - 1 - Đặt câu hỏi
1306 - Dương Đức Minh - 1 - Đặt câu hỏi
1862 - Thái Hoài An - 1 - Đặt câu hỏi
1132 - Phạm Bá Huy - 1 - Đặt câu hỏi
1142 - Nguyễn Minh Đạt - 1 - Đặt câu hỏi
1826 - Nguyễn Mai Nhật Anh - 1 - Đặt câu hỏi
1945 - Nguyễn Minh Công - 1 - Đặt câu hỏi</t>
  </si>
  <si>
    <t>Trần Văn Đông	2A202601310</t>
  </si>
  <si>
    <t>Kiến thức nền, Code hoặc syntax, Quản lý thời gian</t>
  </si>
  <si>
    <t>Nguyễn Hoàng Đạt	2A202601460</t>
  </si>
  <si>
    <t>Nguyễn Hữu Tuyến	2A202601520</t>
  </si>
  <si>
    <t>Vũ Thành Khang	2A202601866</t>
  </si>
  <si>
    <t>Hoàng Trường Giang	2A202601224</t>
  </si>
  <si>
    <t>K4-DAY04-LAB-E403</t>
  </si>
  <si>
    <t>Đoàn Ngọc Duy	2A202601780</t>
  </si>
  <si>
    <t>Nông Ngọc Dương - 2A202601296</t>
  </si>
  <si>
    <t>nhóm demo top 1 theo khu vực: 
Đinh Đức Anh - 2A202601714
Trần Minh Hạnh - 2A202601232
Phan Văn Phương - 2A202602033
Nguyễn Thành Huy - 2A202601802
Lê Huy Hoàng - 2A202601660
Nguyễn Duy Hưng - 2A202601702
Ngô Hoàng Phú - 2A202601244
Nguyễn Hoàng Thảo Tiên - 2A202601650
Nguyễn Xuân Kiên - 2A202601398
Nguyễn Trung Long - 2A202601514
Trần Bảo Phúc - 2A202601148
Đoàn Duy Chiến - 2A202601366
Nguyễn Hoàng Vũ - 2A202601941
Hoàng thái dương -2A202601518
Nguyễn Hà Bách - 2A202601592
Lương Trí Tuệ - 2A202601919
Phùng Đình Đạt - 2A202601540
Lương Đức Thắng - 2A202601196
Nguyễn Xuân Quang - 2A202601776
Cao Các Tường - 2A202601236
Nguyễn Trọng Đăng Khoa - 2A202601964
Nguyễn Đức Anh - 2A202601624
Nguyễn Hoàng Long - 2A202601134
Lưu Nguyễn Ngọc Hân - 2A202601386
Trần Quang Sáng - 2A202601446
Giáp Quốc Anh - 2A202601522
Hà Xuân Sơn - 2A202601904
Chu Tuấn Việt - 2A202601082
Vũ Quốc Anh - 2A202601080
2A202601130 - Đỗ Đức Tiến
Nguyễn Thế Sơn - 2A202601632
2A202601468-PHẠM THANH HƯNG
2A202601110-Võ Quốc Huy
2A202601036 Nguyễn Thế Khiêm
2A202601584 - Trương Công Cường
cá nhân chăm phát biểu xây dựng bài: 
Nguyễn Duy Bách - 2A202601844
Nguyễn Duy Khương - 2A20202601937
Lưu Nguyễn Ngọc Hân - 2A202601386
Trần Tiến Dũng -2A202601064</t>
  </si>
  <si>
    <t>Tool, account hoặc quyền truy cập, Quản lý thời gian</t>
  </si>
  <si>
    <t>Nguyễn Việt Phong - 2A202601975</t>
  </si>
  <si>
    <t>Lê Trọng Việt Dũng - 2A202601746</t>
  </si>
  <si>
    <t>Quang Anh - 2A202601106</t>
  </si>
  <si>
    <t>Nguyễn Tuấn Đức - 2A202601380</t>
  </si>
  <si>
    <t>phamvuong2622004@gmail.com</t>
  </si>
  <si>
    <t>Điểm cộng tích cực phát biểu, đặt câu hỏi:</t>
  </si>
  <si>
    <t>K3-DAY04-LAB-D305</t>
  </si>
  <si>
    <t>Nguyễn Hoàng Anh- 2A202601186</t>
  </si>
  <si>
    <t xml:space="preserve">Lê Quang Huy - 2A202601821 - 1 - Phát biểu
Trần Xuân Lộc - 2A202601671 - 1 - Trình bày team
Ngô Tuấn Hưng - 2A202601409 - 1 - Trình bày team
Nhữ Trọng Thành - 2A202601977 - 1 - Phát biểu
Trần Hoàng Vũ - 2A202602000 - 1 - Trình bày team
Lê Văn Đông - 2A202601851 - 1 - Trình bày team
Vũ Đức Anh - 2A202601191 - 1 - Trình bày team
Đào Ngọc Bích - 2A202601745 - 1 - Trình bày team
Đào Đức Mạnh - 2A202601833 - 1 - Trình bày team
Nguyễn Viết Huy - 2A202601081 - 1 - Trình bày team
Đàm Lê Minh Quân - 2A202601451 - 1 - Trình bày team
Trần Văn Dũng - 2A202601859 - 1 - Trình bày team
Phạm Đình Minh - 2A202601979 - 1 - Trình bày team
Phạm Đức Trung - 2A202601253 - 1 - Trình bày team
Đồng Đại Huy - 2A202601901 - 1 - Trình bày team
Nguyễn Đình Bình - 2A202601091 - 1 - Trình bày team
Nguyễn Quang Tường - 2A202601597- 1  - Trình bày team
</t>
  </si>
  <si>
    <t>Vũ Hữu An 2A202601078</t>
  </si>
  <si>
    <t>Ngô Quang Anh - 2A202601106</t>
  </si>
  <si>
    <t>K4-DAY04-LAB-D305</t>
  </si>
  <si>
    <t>2A202601642 - Nguyễn Quý Dương - 1 - Trình bày team
2A202601512 - Trần Văn Ngọc - 1 - Trình bày team
2A202601662 - Hoàng Công Thành - 1 - Trình bày team
2A202601626 - Nguyễn Hoàng Bảo Minh - 1 - Trình bày team
2A202601542 - Hồ Văn Tâm - 1 - Trình bày team
2A202602021 - Nguyễn Đặng Thành Vinh - 1 - Trình bày team
2A202601908 - Hoàng Duy Hưng - 1 - Trình bày team
2A202601968 - Nguyễn Văn Đạt - 1 - Trình bày team
2A202601822 - Sẻ Thế Hưng - 1 - Trình bày team
2A202601570 - Lê Thị Hải Yến - 1 - Trình bày team
2A202601670 - Nguyễn Hải Anh - 1 - Trình bày team
2A202601296 - Nông Ngọc Dương - 1 - Trình bày team
2A202601870 - Nguyễn Đức Anh - 1 - Trình bày team
2A202601538 - Tạ Hồng Quí - 1 - Trình bày team
2A202601975 - Nguyễn Việt Phong - 1 - Trình bày team
2A202601380 - Nguyễn Tuấn Đức - 1 - Trình bày team
2A202601746 - Lê Trọng Việt Dũng - 1 - Trình bày team
2A202601106 - Ngô Quang Anh - 1 - Trình bày team
2A202601308 - Lương Minh Quân - 1 - Trình bày team</t>
  </si>
  <si>
    <t>K3-DAY04-LAB-E403</t>
  </si>
  <si>
    <t>Nguyễn Văn Hưng - 2A202601251
Nguyễn Đình Liêm - 2A202601421
Đỗ Trung Kiên - 2A202601287
Nguyễn Hồng Yến - 2A202601065
Nguyễn Xuân Phượng--2A202601874
Nguyễn Đào Nam Hải- 2A202601037
Phùng Hồng Phước-2A202601215
Lê Công Dũng-2A202601649
Trần Đức Mạnh-2A202601567
Lê Nguyễn Minh Đức-2A202601013
2A202601714 -Đinh Đức Anh 
2A202601660 -Lê Huy Hoàng 
2A202601802 -Nguyễn Thành Huy 
2A202601508 -Nguyễn Văn Qúy 
2A202602033-Phan Văn Phương
2A202601232-Trần Minh Hạnh
Trần Xuân Bách-2A202601093
Nguyễn Duy Trọng-2A202601333
Đinh Hoài Nam-2A202601889
Nguyễn Hoàng Tín-2A202601603
Trịnh Quốc Trọng-2A202601779
Bùi Thế Huy-2A202601881
Phạm Thị Thuỳ Linh-2A202601181
Nguyễn Thị Xuân Mai - 2A202601691
Cao Hữu Phúc - 2A202601283
Trần Doãn Hưng - 2A202601143
Ngô Khánh Trượng - 2A202601477
Lê Tuấn Hiệp - 2A202601667</t>
  </si>
  <si>
    <t xml:space="preserve">bài là cần Guide rõ ràng, dễ hiểu hơn </t>
  </si>
  <si>
    <t xml:space="preserve">2A202601307 - Nguyễn Đăng Nam - 1 - nhóm demo
2A202601605 - Nguyễn Hữu Tuyền - 1 - nhóm demo
2A202601101 - Tống Nguyễn Minh Khang - 1 - nhóm demo
2A202601445 - Đậu Quốc Duy - 1 - nhóm demo
2A202601149 - Lê Chí Anh Tuấn - 1 - nhóm demo
2A202601111 - Cao Quế Phương - 4 - nhóm demo, phát biểu
2A202601623 - Đoàn Quốc Việt - 1 - phát biểu
2A202601523 - Nguyễn Quang Hưng - 1 - nhóm demo
2A202601645 - Lê Minh Khiêm - 1 - nhóm demo
2A202601169 - Đàm Minh Tuấn - 1 - nhóm demo
2A202601677 - Đinh Huy Mạnh - 1 - nhóm demo
2A202601813 - Nguyễn Văn Tuấn Anh - 4 - phát biểu
2A202601747 - Dương Hoàng Lâm - 1 - phát biểu
2A202601279 - Phạm Nguyễn Hùng Nguyên - 1 - phát biểu
2A202601815 - Nguyễn Chính Nghĩa - 1 - phát biểu
2A202601783 - Trần Tiến Dũng - 3 - nhóm demo, phát biểu
2A202601543 - Lê Hoàng Việt - 2 - nhóm demo, phát biểu
2A202601849 - Nguyễn Thiên Tài - 1 - nhóm demo
2A202601655 - Nguyễn Tiến - 1 - nhóm demo
2A202601317 - Trần Thị Hoa Mai - 2 - nhóm demo, phát biểu
2A202601015 - Lương Thị Linh - 1 - nhóm demo
2A202601681 - Phạm Mai Anh - 1 - nhóm demo
2A202601569 - Ngô Thị Ngọc Phượng - 1 - nhóm demo
2A202601473 - Nguyễn Mai Thanh Trúc - 1 - nhóm demo
2A202601403 - Nguyễn Thị Khánh Ly - 1 - nhóm demo
2A202601693 - Nguyễn Thị Tuyết Mai - 1 - nhóm demo
2A202601521 - Trần Hải Quân - 3 - phát biểu
2A202601205 - Đỗ Thanh Tùng - 1 - phát biểu
2A202601443 - Nguyễn Thành Long - 1 - phát biểu
</t>
  </si>
  <si>
    <t>2A202602035 - Nguyễn Trọng Khánh - 1 - nhóm demo
2A202601500 - Hoàng Tuấn Minh - 1 - nhóm demo
2A202601420 - Cao Hương Giang - 1 - nhóm demo
2A202601016 - Lê Văn Tuấn - 2 - nhóm demo, phát biểu
2A202601250 - Vũ Hoàng Việt - 1 - nhóm demo
2A202601262 - Trương Minh Hoàng - 6 - phát biểu
2A202601935 - Nguyễn Đình Quốc - 2 - nhóm demo, phát biểu
2A202601872 - Nguyễn Đức Thành - 1 - nhóm demo
2A202601914 - Lâm Vũ - 1 - nhóm demo
2A202601276 - Thái Nguyễn Hoàng Bách - 1 - nhóm demo
2A202601816 - Nguyễn Minh Hiếu - 1 - nhóm demo
2A202601422 - Nguyễn Văn Đức - 1 - nhóm demo
2A202601814 - Đào Hải Đăng - 1 - nhóm demo
2A202601668 - Vũ Xuân Đức - 1 - nhóm demo
2A202601842 - Nguyễn Tuấn Trường - 2 - nhóm demo, phát biểu
2A202601248 - Lê Nguyễn Minh Quang - 1 - nhóm demo
2A202601396 - Nguyễn Thành Công - 1 - nhóm demo
2A202601156 - Nguyễn Ngọc Hiệp - 1 - nhóm demo
2A202601222 - Đoàn Tiến Thành - 1 - nhóm demo
2A202601506 - Phạm Gia Bảo - 1 - nhóm demo
2A202601722 - Vũ Ngọc Hùng - 1 - nhóm demo
2A202601150 - Nguyễn Thị Thanh Hiền - 1 - nhóm demo
2A202601586 - Nguyễn Công Việt Quang - 1 - nhóm demo
2A202601278 - Đỗ Thành Đạt - 1 - nhóm demo
2A202601648 - Trần Thị Hường - 1 - nhóm demo
2A202601074 - Trịnh Đắc Vụ - 2 - phát biểu</t>
  </si>
  <si>
    <t>K4-DAY04-LEC-D301</t>
  </si>
  <si>
    <t xml:space="preserve">Đinh Hoàng Quân 2A202602034
Nguyễn Ngọc Gia Bảo 2A202601234
Nguyễn Tuấn Thành 2A202601967
Hoàng Vũ Trung Nguyên 2A202601076 x2
Hoàng Trung Hải 2A202601054 </t>
  </si>
  <si>
    <t>K3-DAY05-LEC-D301</t>
  </si>
  <si>
    <t>(một số bạn buổi sáng note thiếu)
1056 - Kiều Phúc Huy - 1 
1358 - Hồ Trọng Hảo - 1 
1201 - Nguyễn Thanh Hoang - 1
1411 - Trần Thị Vân Anh - 1
1932 - Nguyễn Chí Quang - 1 
1974 - Nguyễn Văn Trường - 1 
Hoang Anh Quân 2A202601875
Phạm Quốc Thanh 2A202601407
Nguyễn Khánh Bảo Châu 2A202601221
Đinh Lê Bình An 2A202601519</t>
  </si>
  <si>
    <t xml:space="preserve">Lượng kiến thức trong bài này cũng ko có nhiều và dư khá nhiều thời gian. </t>
  </si>
  <si>
    <t>K4-DAY05-LEC-C401</t>
  </si>
  <si>
    <t>Lương Bảo Long - 2A202601682
Nguyễn Trường An - 2A202601616
Dương Văn Duy - 2A202602011
Nguyễn Đăng Long - 2A202601934
Trần Phú Nghĩa - 2A202601298
Nguyễn Đăng Long - 2A202601934 
Doi 1:
Nguyễn Hoàng Minh - 2A202601764
Hồ Ngọc Quỳnh - 2A202601684
Nguyễn Xuân Quang - 2A202601776
Trần Hoàng Long - 2A202601646
Nguyễn Văn Thành - 2A202601030
Nguyễn Chiến Thắng-2A202601734
Phạm Quốc Bảo - 2A202601502
Doi 2: 
Nguyen Duy Bach - 2A202601844
Dat cau hoi:
Nghiêm Quốc Huy - 2A202601923
Đỗ Đức Tiến - 2A202601130</t>
  </si>
  <si>
    <t>Không</t>
  </si>
  <si>
    <t>26ai.bachdx@vinuni.edu.vn</t>
  </si>
  <si>
    <t>K4-DAY05-LEC-D302</t>
  </si>
  <si>
    <t xml:space="preserve">1542-Hồ Văn Tâm-1-Phát biểu trả lời 
1186-Nguyễn Hoàng Anh-1-Phát biểu trả lời </t>
  </si>
  <si>
    <t>K4-DAY06-LEC-D302</t>
  </si>
  <si>
    <t>1205-Đỗ Thanh Tùng-1-Demo
1521-Trần Hải Quân-1-Demo
1337-Hoàng Hải Dương-1-Demo
1947-Nguyễn Minh Phương-1-Demo
1443-Nguyễn Thành Long-1-Demo
1783-Trần Tiến Dũng-1-Demo
1543-Lê Hoàng Việt-1-Demo
1849-Nguyễn Thiên Tài-1-Demo
1655-Nguyễn Tiến-1-Demo</t>
  </si>
  <si>
    <t>K3-DAY05-LAB-D304</t>
  </si>
  <si>
    <t>K4-DAY05-LAB-D304</t>
  </si>
  <si>
    <t>K3-DAY05-LAB-E403</t>
  </si>
  <si>
    <t>Chưa hiểu yêu cầu bài, Tool, account hoặc quyền truy cập, Tài liệu chưa rõ hoặc thiếu</t>
  </si>
  <si>
    <t>Cần làm rõ tài liệu hơn vì nhiều bạn chưa hiểu. -&gt; Thời gian giữa hoàn thành đề Hackathon ngắn quá. =&gt; Cần giải thích nhiều hơn cho các bạn trên lớp</t>
  </si>
  <si>
    <t>K4-DAY05-LAB-E403</t>
  </si>
  <si>
    <t>Chưa hiểu yêu cầu bài, Tài liệu chưa rõ hoặc thiếu</t>
  </si>
  <si>
    <t>Tài liệu còn khó hiểu cho các bạn, cần giải thích thêm nhiều hơn mỗi check point</t>
  </si>
  <si>
    <t>K4-DAY05-LEC-D301</t>
  </si>
  <si>
    <t>Ngô Minh Khôi - 2A202601927 - 3
Ngô Thị Thảo Linh - 2A202601318 - 1
Đặng Minh Quang - 2A202601108 - 1
Bùi Thu Trang - 2A202601758 - 1
Phạm Ngọc Quốc Khánh - 2A202601254 - 1
Lê Ngô Thanh Toàn - 2A202601590 - 1
Trần Gia Thế - 2A202601062 - 1
Đinh Hoàng Quân - 2A202602034 - 1
Hoàng Vũ Trung Nguyên - 2A202601076 - 1
Phạm Công Đăng -2A202601280 - 1
Nguyễn Phú Quang - 2A202602017 - 1
Hồ Lương An - 2A202601332 - 1</t>
  </si>
  <si>
    <t>K3-DAY06-LEC-D301</t>
  </si>
  <si>
    <t>Hnay làm hackathon nên ko có gì để phát biểu, cũng chưa có ai demo sớm hết</t>
  </si>
  <si>
    <t>nn20052004@gmail.com</t>
  </si>
  <si>
    <t>vuongsky55.cv@gmail.com</t>
  </si>
  <si>
    <t>K4-DAY06-LEC-D303</t>
  </si>
  <si>
    <t>1 Vũ Ngọc Hùng - 2A202601722 2 Nguyễn Thị Thanh Hiền - 2A202601150 3 Nguyễn Công Việt Quang - 2A202601586 4 Đỗ Thành Đạt - 2A202601278 5 Trần Thị Hường - 2A202601648
Nguyễn Hùng Mạnh 2A202601256 Nguyễn Văn Trọng 01102 Nguyễn Tuấn Hùng 2A202601194 Trần Trọng Thịnh 2A202601568
Trần Thanh Huyền - 2A202601578, Đỗ Tú Anh - 2A202601272, Nguyễn Minh Hiếu - 2A202601154, Nguyễn Minh Đức 2A202601946, Nguyễn Tấn Hoàng - 2A202601198
Thái Hoài An 2A202601862 Trịnh Bá Khánh Trình 2A202601531 Nguyễn Văn Phúc 2A202601350 Nguyễn Hữu Tuyến 2A202601520 Vũ Thành Khang 2A202601866
Mọi người demo hackathon</t>
  </si>
  <si>
    <t>K3-DAY06-LAB-D304</t>
  </si>
  <si>
    <t>K4-DAY06-LAB-D304</t>
  </si>
  <si>
    <t>K3-DAY06-LAB-D303</t>
  </si>
  <si>
    <t>01189 - Trần Hà Bảo Long - 5 - Team top 1 nhà đầu tư xuất sắc
01785 - Đặng Trần Trung Dũng - 5 - Team top 1 nhà đầu tư xuất sắc
01285 - Đào Quốc Đại - 5 - Team top 1 nhà đầu tư xuất sắc
01291 - Nguyễn Đức Trọng - 5 - Team top 1 nhà đầu tư xuất sắc
01955 - Nguyễn Quang Minh - 5 - Team top 1 nhà đầu tư xuất sắc</t>
  </si>
  <si>
    <t>Quản lý thời gian, Hôm nay chỉ có vấn đề về thời gian chưa đc clear</t>
  </si>
  <si>
    <t xml:space="preserve">01783 - Trần Tiến Dũng - 4 - top2 startup
01543 - Lê Hoàng Việt - 4 - top2 startup
01849 - Nguyễn Thiên Tài - 4 - top2 startup
01655 - Nguyễn Tiến - 4 - top2 startup
 </t>
  </si>
  <si>
    <t>quanganhtit030@gmail.com</t>
  </si>
  <si>
    <t>K4-DAY06-LAB-D303</t>
  </si>
  <si>
    <t>01742 - Nguyễn Vũ Việt Anh - 3 - top3 startup
01810 - Nguyễn Minh Đạt - 3 - top3 startup
01456 - Nguyễn Kim Quý - 3 - top3 startup
01622 - Nguyễn Đăng Tuyên - 3 - top3 startup
01544 - Nguyễn Văn Quân - 3 - top3 startup
01222 - Đoàn Tiến Thành - 4 - top 2 startup
01084 - Lưu Quang Linh - 4 - top 2 startup
01738 - Nguyễn Khánh Toàn - 4 - top 2 startup
01798 - Trần Đăng Nguyên - 4 - top 2 startup
01268 - Võ Duy Quang - 4 - top 2 startup</t>
  </si>
  <si>
    <t>K3-DAY06-LAB-E402</t>
  </si>
  <si>
    <t>K4-DAY06-LAB-E402</t>
  </si>
  <si>
    <t>nguyenminhanh.mignone@gmail.com</t>
  </si>
  <si>
    <t>K3-DAY07-LEC-D302</t>
  </si>
  <si>
    <t>1773 - Trần Việt Bách - 1 - Phát biểu cá nhân
1101 - Tống Nguyễn Minh Khang - 1 - Phát biểu cá nhân
1153 - Phạm Phúc Minh - 2 - Phát biểu cá nhân
1205 - Đỗ Thanh Tùng - 1 - Phát biểu cá nhân
1279 - Phạm Nguyễn Hùng Nguyên - 1 - Phát biểu cá nhân
1331 - Đỗ Thái Dương - 1 - Phát biểu cá nhân
1369 - Trần Quốc Việt - 1 - Phát biểu cá nhân
1521 - Trần Hải Quân - 1 - Phát biểu cá nhân
1523 - Nguyễn Quang Hưng - 1 - Phát biểu cá nhân
1543 - Lê Hoàng Việt - 2 - Phát biểu cá nhân
1645 - Lê Minh Khiêm - 1 - Phát biểu cá nhân
1697 - Nguyễn Huy Tỏa - 1 - Phát biểu cá nhân
1747 - Dương Hoàng Lâm - 1 - Phát biểu cá nhân
1805 - Trần Hoàng Quân - 2 - Phát biểu cá nhân
1813 - Nguyễn Văn Tuấn Anh - 2 - Phát biểu cá nhân
1815 - Nguyễn Chính Nghĩa - 1 - Phát biểu cá nhân
1913 - Lại Duy Đông  - 1 - Phát biểu cá nhân</t>
  </si>
  <si>
    <t>Muốn đồng bộ cách ghi nhận điểm của học viên cho các buổi sau. Các coach thống nhất điền form cho các lần sau để tránh loãng chat trên discord</t>
  </si>
  <si>
    <t>20trongvu02@gmail.com</t>
  </si>
  <si>
    <t>K4-DAY07-LEC-D301</t>
  </si>
  <si>
    <t>1318 - Ngô Thị Thảo Linh - 1 - Phát biểu xây dựng bài
1054 - Hoàng Trung Hải - 1 - Phát biểu xây dựng bài
1590 - Lê Ngô Thanh Toàn - 1 - Phát biểu xây dựng bài
1967 - Nguyễn Tuấn Thành - 1 - Phát biểu xây dựng bài
1678 - Nguyễn Tiến Đạt - 1 - Phát biểu xây dựng bài
2034 - Đinh Hoàng Quân - 1 - Phát biểu xây dựng bài
1280 - Phạm Công Đăng - 1 - Phát biểu xây dựng bài
1444 - Phạm Văn Vượng - 1 - Phát biểu xây dựng bài
1438 - Nguyễn Minh Đức - 1 - Phát biểu xây dựng bài
1076 - Hoàng Vũ Trung Nguyên - 1 - Phát biểu xây dựng bài</t>
  </si>
  <si>
    <t>K4-DAY07-LEC-D302</t>
  </si>
  <si>
    <t>K3-DAY07-LAB-D305</t>
  </si>
  <si>
    <t>Nguyễn Chí Hướng - 2A202601203 
Lê Quang Huy - 2A202601821
Lăng Thị Phương Huế - 2A202601915 
Mai Hồng Sơn - 2A202601921 
Ngô Minh Phong - 2A202602025
Nhữ Trọng Thành -2A202601977
Mai Hồng Sơn - 2A202601921
Lê Thị Linh - 2A202601441
Vũ Thu Huyền - 2A202601583
Lường Thị Hảo - 2A202601637
Nguyễn Đức Trung - 2A202601725 
Nguyễn Tuấn Nam - 2A202602039 
Nguyễn Quang Vinh - 2A202601049
Đinh Quang Minh - 2A202601347
Lăng Thị Phương Huế - 2A202601915
Nguyễn Hải Quân - 2A202601863
Nguyễn Đức Dũng - 2A202601823
Đặng Đức Hoà - 2A202601351</t>
  </si>
  <si>
    <t>K3-DAY07-LAB-E403</t>
  </si>
  <si>
    <t>01487 - Lê Ngọc Khánh - 3 - Cộng điểm Top Kahoot
01889 - Đinh Hoài Nam - 3 - Cộng điểm Top Kahoot
01209 - Lương Đăng Doanh - 3 - Cộng điểm Top Kahoot
01659 - Lê Bình Nguyên - 3 - Cộng điểm Top Kahoot
01707 - Nguyễn Tiến Dũng - 3 - Cộng điểm Top Kahoot
01181 - Phạm Thị Thùy Linh - 3 - Cộng điểm Top Kahoot
01415 - Nguyễn Đức Thiện - 3 - Cộng điểm Top Kahoot
01027 - Nguyễn Thu Huyền - 3 - Cộng điểm Top Kahoot
01217 - Nguyễn Văn Đại - 3 - Cộng điểm Top Kahoot
01093 - Trần Xuân Bách - 3 - Cộng điểm Top Kahoot
01479 - Nguyễn Thiên Lộc - 2 - Cộng điểm Top Kahoot
01665 - Lại Thế Rin - 2 - Cộng điểm Top Kahoot
01525 - Phạm Trung Kiên - 2 - Cộng điểm Top Kahoot
01321 - Nguyễn Việt Thắng - 2 - Cộng điểm Top Kahoot
01843 - Nguyễn Khánh Toàn - 2 - Cộng điểm Top Kahoot
01539 - Nguyễn Tiến Thành - 2 - Cộng điểm Top Kahoot
01185 - Nguyễn Đức Tín - 2 - Cộng điểm Top Kahoot
01251 - Nguyễn Anh Quân - 2 - Cộng điểm Top Kahoot
01951 - Nguyễn Phúc Huy Hoàng - 2 - Cộng điểm Top Kahoot
01920 - Lưu Quang Nhật - 2 - Cộng điểm Top Kahoot
01383 - Nguyễn Hoàng Khôi - 2 - Cộng điểm Top Kahoot
01247 - Trần Duy Trường - 2 - Cộng điểm Top Kahoot
01881 - Bùi Thế Huy - 2 - Cộng điểm Top Kahoot
01271 - Trần Dương Tuấn - 2 - Cộng điểm Top Kahoot
01535 - Trần Chí Tâm - 1 - Cộng điểm Phát biểu
01085 - Đỗ Nhật Minh - 1 - Cộng điểm Phát biểu
01083 - Mai Việt Anh - 1 - Cộng điểm Phát biểu
01965 - Nguyễn Trọng Dũng - 1 - Cộng điểm Phát biểu
01739 - Chu Thị Yến Khanh - 1 - Cộng điểm Phát biểu
01545 - Vũ Quang Tùng - 1 - Cộng điểm Phát biểu
01873 - Nguyễn Quang Huy - 1 - Cộng điểm Phát biểu
01297 - Trương Đình Khoa - 1 - Cộng điểm Phát biểu
01689 - Diêm Công Thành - 1 - Cộng điểm Phát biểu
01093 - Trần Xuân Bách - 1 - Cộng điểm Phát biểu</t>
  </si>
  <si>
    <t>K3-DAY08-LEC-D302</t>
  </si>
  <si>
    <t>K3-DAY07-LEC-D301</t>
  </si>
  <si>
    <t>2A202601241 - Nguyễn Văn Phong - 1 - Phát biểu
2A202601461 - Trần Quang Trọng - 1 - Phát biểu
2A202601309 - Nguyễn Quang Khải - 1 - Phát biểu</t>
  </si>
  <si>
    <t>K4-DAY07-LAB-E403</t>
  </si>
  <si>
    <t>Top 01. Nguyễn Quang Huy - 01120 - Cộng 3 điểm (Kahoot)
Top 02. Đinh Quốc Việt - 01891 - Cộng 3 điểm (Kahoot)
Top 03. Nguyễn Tuấn Phong - 01038 - Cộng 3 điểm (Kahoot)
Top 04. Hà Xuân Sơn - 0190410 - Cộng 3 điểm (Kahoot)
Top 05. Nguyễn Thừa Tuân - 01330 - Cộng 3 điểm (Kahoot)
Top 06. Nguyễn Hữu Công - 01732 - Cộng 3 điểm (Kahoot)
Top 07. Tạ Quốc Tuấn - 01114 - Cộng 3 điểm (Kahoot)
Top 08. Hồ Ngọc Quỳnh - 01684 - Cộng 3 điểm (Kahoot)
Top 09. Nguyễn Đình Hoàng - 2A202601436 - Cộng 3 điểm (Kahoot)
Top 10. Hoàng Tuấn Hưng - 01911 - Cộng 3 điểm (Kahoot)
Top 11. Nguyễn Xuân Kiên - 01398 - Cộng 2 điểm (Kahoot)
Top 12. Hoàng Anh Minh - 01192 - Cộng 2 điểm (Kahoot)
Top 13. Bùi Hoàng Việt - 01392 - Cộng 2 điểm (Kahoot)
Top 14. Phạm Tuấn Anh - 01070 - Cộng 2 điểm (Kahoot)
Top 15. Trần Lương Hoàng Anh - 01572 - Cộng 2 điểm (Kahoot)
Top 16. Nguyễn Tuấn Dương - 01966 - Cộng 2 điểm (Kahoot)
Top 17. Phạm Quốc Bảo - 2A202601502 - Cộng 2 điểm (Kahoot)
Top 18. Đinh Đức Anh - 01714 - Cộng 2 điểm (Kahoot)
Top 19. Nguyễn Trung Đức - 2A202601750 - Cộng 2 điểm (Kahoot)
Top 20. Lương Hoàng Minh - 01490 - Cộng 2 điểm (Kahoot)
Top 21. Bùi Tùng Lâm - 01676 - Cộng 2 điểm (Kahoot)
Top 22. Trương Công Cường - 01584 - Cộng 2 điểm (Kahoot)
Top 23. Nguyễn Quang Sơn - 01956 - Cộng 2 điểm (Kahoot)
Top 24. Nguyễn Vũ Hà An - 01692 - Cộng 2 điểm (Kahoot)
Top 25. Đào Việt Phong - 2A202601786 - Cộng 2 điểm (Kahoot)
Nguyễn Văn Thành - 2A202601030 - Cộng 1 điểm (phát biểu)
Vũ Quốc Anh - 01080 - Cộng 1 điểm (phát biểu)
Nguyễn Xuân Hùng - 01640 - Cộng 1 điểm (phát biểu)
Nguyễn Hoàng Hải - 2A202601426 - Cộng 1 điểm (thuyết trình)
Nguyễn Văn Thành - 2A202601030 - Cộng 1 điểm (thuyết trình)
Nguyễn Duy Khánh - 2A202601530 - Cộng 1 điểm (thuyết trình)
Ngô Xuân Ninh - 2A202601068 - Cộng 1 điểm (thuyết trình)
Nguyễn Chiến Thắng - 2A202601734 - Cộng 1 điểm (thuyết trình)
Nguyễn Hoàng Hải - 2A202601426 - Cộng 1 điểm (thuyết trình)
Nguyễn Văn Thành - 2A202601030 - Cộng 1 điểm (thuyết trình)
Nguyễn Duy Khánh - 2A202601530 - Cộng 1 điểm (thuyết trình)
Ngô Xuân Ninh - 2A202601068 - Cộng 1 điểm (thuyết trình)
Nguyễn Chiến Thắng - 2A202601734 - Cộng 1 điểm (thuyết trình)
Trần Phú Nghĩa - 2A202601298 - Cộng 1 điểm (thuyết trình)
Nguyễn Lâm Tùng Bách - 2A202601830 - Cộng 1 điểm (thuyết trình)
Cao Minh Quang - 2A202601884 - Cộng 1 điểm (thuyết trình)
Trần Minh Quang - 2A202601806 - Cộng 1 điểm (thuyết trình)
Điền Mạnh Hùng - 2A202601888 - Cộng 1 điểm (thuyết trình)
Nguyễn Duy Bách - 2A202601844 - Cộng 1 điểm (thuyết trình)
Lương Quỳnh Chi - 2A202601630 - Cộng 1 điểm (thuyết trình)
Phạm Hoàng Chương - 2A202601824 - Cộng 1 điểm (thuyết trình)
Nguyễn Huy Hưng - 2A202601204 - Cộng 1 điểm (thuyết trình)
Nguyễn Duy Khương - 2A202601937 - Cộng 1 điểm (thuyết trình)
Hồ Ngọc Quỳnh - 2A202601684 - Cộng 1 điểm (thuyết trình)
Nguyễn Đình Liên Thành - 2A202601790 - Cộng 1 điểm (thuyết trình)
Hoàng Văn Huy - 2A202601356 - Cộng 1 điểm (thuyết trình)</t>
  </si>
  <si>
    <t>26ai.mayvhk@vinuni.edu.vn</t>
  </si>
  <si>
    <t>K3-DAY07-LAB-D304</t>
  </si>
  <si>
    <t>Đây là danh sách đã được format theo mẫu:
2A202601971 - Nguyễn Văn Linh - 2 - Top 3 Kahoot
2A202601069 - Ngô Hùng Phúc - 3 - Kahoot top 2
2A202601635 - Nguyễn Văn Huy - 5 - Top 1 Kahoot
2A202601153 - Phạm Phúc Minh - 1 - Đặt câu hỏi cho nhóm 2 và tìm ra được vấn đề
2A202601495 - Lê Thành Vinh - 1 - Hỏi câu hỏi
2A202601831 - Nguyễn Văn Hiếu - 1 - Hỏi 5 Nàng Công Chúa về việc sử dụng rerank như thế nào
2A202601912 - Huỳnh Thị Hải Châu - 1 - Đặt câu hỏi cho nhóm demo
2A202601831 - Nguyễn Văn Hiếu - 1 - Hỏi team Student về việc dữ liệu lưu bằng tiếng Anh nhưng nếu hỏi bằng tiếng Việt thì sao
2A202601573 - Nguyễn Lê Minh - 1 - Trả lời câu hỏi
2A202601912 - Huỳnh Thị Hải Châu - 3 - Top 1 demo
2A202601311 - Hoàng Huyền Trang - 3 - Top 1 demo
2A202601621 - Đinh Thị Diễm Quỳnh - 3 - Top 1 demo
2A202601379 - Nguyễn Đỗ Khải Hoàn - 2 - Demo team top 2
2A202601537 - Nguyễn Văn Duy - 2 - Demo team top 2
2A202601837 - Phạm Văn Sâm - 2 - Demo team top 2
2A202601481 - Vương Trần Hoàn - 2 - Demo team top 2
2A202601495 - Lê Thành Vinh - 2 - Demo team top 2
2A202601043 - Tô Minh Đức - 2 - Demo team top 2
2A202601573 - Nguyễn Lê Minh - 1 - Lên demo
2A202601938 - Nguyễn Gia Bảo - 1 - Lên demo
2A202601831 - Nguyễn Văn Hiếu - 1 - Lên demo
2A202601890 - Đinh Lê Hoàng Danh - 1 - Lên demo
2A202601695 - Dương - 1 - Lên demo
2A202601343 - Đỗ Ngọc Anh - 1 - Lên demo
2A202601331 - Đỗ Thái Dương - 1 - Lên demo
2A202601273 - Hoàng Sỹ Toàn - 1 - Lên demo
2A202601355 - Nguyễn Phương Linh - 1 - Lên demo</t>
  </si>
  <si>
    <t>K4-DAY07-LAB-D304</t>
  </si>
  <si>
    <t>2A202601862 - Thái Hoài An - 5 - Top 1 Kahoot
2A202601578 - Trần Thanh Huyền - 3 - Top 2 Kahoot
2A202601050 - Đặng Văn Nhân - 2 - Top 3 Kahoot đầu giờ
2A202601862 - Thái Hoài An - 3 - Top 1 trình bày
2A202601606 - Phạm Tấn Gia Quốc - 3 - Top 1 demo cuối giờ (Hihihaha)
2A202601306 - Dương Đức Minh - 3 - Top 1 thuyết trình demo (Hihihaha)
2A202601140 - Nguyễn Thanh Tùng - 3 - Top 1 nhóm thuyết trình demo (Hihihaha)
2A202601132 - Phạm Bá Huy - 1 - Đặt câu hỏi cho nhóm Hihihaha về việc xác định các ngoại lệ trunk như Mr. Name, Ms. Name, có thể sử dụng từ điển để Agent tra cứu tránh cắt nhầm
2A202601826 - Nguyễn Mai Nhật Anh - 1 - Hỏi nhóm đầu tiên thuyết trình
2A202601256 - Nguyễn Hùng Mạnh - 1 - Lên demo
2A202601416 - Nguyễn Thị Hương Trà - 1 - Lên demo
2A202601324 - Trần Hoàng Mai Anh - 1 - Lên demo
2A202601142 - Nguyễn Minh Đạt - 1 - Lên demo
2A202601368 - Phạm Hoàng Anh - 2 - Demo top 2
2A202601202 - Bùi Xuân Hoà - 2 - Demo top 2
2A202601826 - Nguyễn Mai Nhật Anh - 2 - Demo top 2
2A202601102 - Nguyễn Văn Trọng - 2 - Demo top 2
2A202601800 - Phạm Tiến Hưng - 2 - Demo top 2
2A202601050 - Đặng Văn Nhân - 1 - Lên demo
2A202601492 - Giáp Hoàng Thịnh - 1 - Lên demo
2A202601652 - Nguyễn Trương Ngọc Mai - 1 - Lên demo
2A202601316 - Trần Bá Lợi - 1 - Lên demo
2A202601286 - Nguyễn Trần Gia Phụng - 1 - Lên demo
2A202601246 - Nguyễn Văn Tấn - 1 - Lên demo
2A202601400 - Nguyễn Văn Dương - 1 - Lên demo
2A202601930 - Nguyễn Anh Đức - 1 - Lên demo</t>
  </si>
  <si>
    <t>manhnd21.work@gmail.com</t>
  </si>
  <si>
    <t>K4-DAY07-LAB-D305</t>
  </si>
  <si>
    <t>1934 - Nguyễn Đăng Long - 1 - Demo cuối buổi
1184 - Đào Minh Chiến - 1 - Demo cuối buổi
1308 - Lương Minh Quân - 1 - Demo cuối buổi
1916 - Lê Đăng Tấn - 1 - Demo cuối buổi
1078 - Vũ Hữu An - 1 - Demo cuối buổi
1112 - Nguyễn Xuân Đức - 1 - Demo cuối buổi
1086 - Trần Tuấn Anh - 1 - Demo cuối buổi
1312 - Phó Hiếu Anh - 1 - Demo cuối buổi
1242 - Hoàng Trọng Đại - 1 - Demo cuối buổi
1642 - Nguyễn Quý Dương - 1 - Demo cuối buổi
1512 - Trần Văn Ngọc - 1 - Demo cuối buổi
1662 - Hoàng Công Thành - 1 - Demo cuối buổi
1626 - Nguyễn Hoàng Bảo Minh - 1 - Demo cuối buổi
1542 - Hồ Văn Tâm - 1 - Demo cuối buổi
1975 - Nguyễn Việt Phong - 1 - Demo cuối buổi
1380 - Nguyễn Tuấn Đức - 1 - Demo cuối buổi
1746 - Lê Trọng Việt Dũng - 1 - Demo cuối buổi
1106 - Ngô Quang Anh - 1 - Demo cuối buổi
1186 - Nguyễn Hoàng Anh - 1 - Phát biểu 
1334 - Hoàng Văn Quang - 1 - Trả lời lỗi do AI trả lời ko đúng
1334 - Hoàng Văn Quang - 1 - Trả lời quy trình RAG
1975 - Nguyễn Việt Phong - 1 - Top 3 Kahoot
1092 - Trương Ngọc Hải - 1 - Top 2 Kahoot
1380 - Nguyễn Tuấn Đức - 1 - Top 1 Kahoot</t>
  </si>
  <si>
    <t>Bài hôm nay mỗi người 1 folder mà code lại chung em thấy nên cải thiện chỗ nì</t>
  </si>
  <si>
    <t>K3-DAY07-LAB-D303</t>
  </si>
  <si>
    <t>2A202601805 - Trần Hoàng Quân - 7 - Phát biểu &amp; Nhóm A2
2A202601279 - Phạm Nguyễn Hùng Nguyên - 1 - Phát biểu
2A202601169 - Đàm Minh Tuấn - 6 - Phát biểu &amp; Nhóm A2
2A202601523 - Nguyễn Quang Hưng - 8 - Phát biểu &amp; Nhóm A2
2A202601127 - Lê Tuấn Cảnh - 1 - Phát biểu
2A202601015 - Lương Thị Linh - 8 - Phát biểu &amp; Nhóm VinTV
2A202601645 - Lê Minh Khiêm - 7 - Kahoot, Phát biểu &amp; Nhóm A2
2A202601727 - Đoàn Vũ Hoàng - 1 - Kahoot
2A202601605 - Nguyễn Hữu Tuyền - 1 - Kahoot
2A202601655 - Nguyễn Tiến - 3 - Nhóm GiCungDuoc - B1
2A202601783 - Trần Tiến Dũng - 3 - Nhóm GiCungDuoc - B1
2A202601543 - Lê Hoàng Việt - 3 - Nhóm GiCungDuoc - B1
2A202601849 - Nguyễn Thiên Tài - 3 - Nhóm GiCungDuoc - B1
2A202601731 - Lee Jae Sung - 4 - Nhóm Đại sự quán Hàn Việt
2A202601329 - Phạm Đức Hiệp - 4 - Nhóm Đại sự quán Hàn Việt
2A202601023 - Vũ Đức Duy - 4 - Nhóm Đại sự quán Hàn Việt
2A202601747 - Dương Hoàng Lâm - 4 - Nhóm Đại sự quán Hàn Việt
2A202601151 - Nguyễn Trường An - 4 - Nhóm Đại sự quán Hàn Việt
2A202601473 - Nguyễn Mai Thanh Trúc - 1 - Nhóm E1
2A202601693 - Nguyễn Thị Tuyết Mai - 1 - Nhóm E1
2A202601403 - Nguyễn Thị Khánh Ly - 1 - Nhóm E1
2A202601317 - Trần Thị Hoa Mai - 4 - Nhóm VinTV
2A202601681 - Phạm Mai Anh - 4 - Nhóm VinTV
2A202601111 - Cao Quế Phương - 4 - Nhóm VinTV
2A202601569 - Ngô Thị Ngọc Phượng - 4 - Nhóm VinTV
2A202601205 - Đỗ Thanh Tùng - 4 - Nhóm F1 - D303
2A202601337 - Hoàng Hải Dương - 4 - Nhóm F1 - D303
2A202601443 - Nguyễn Thành Long - 4 - Nhóm F1 - D303
2A202601521 - Trần Hải Quân - 4 - Nhóm F1 - D303
2A202601947 - Nguyễn Minh Phương - 4 - Nhóm F1 - D303
2A202601677 - Đinh Huy Mạnh - 5 - Nhóm A2</t>
  </si>
  <si>
    <t>K3-DAY08-LAB-D305</t>
  </si>
  <si>
    <t>2A202601977 - Nhữ Trọng Thành - 3 điểm - Nhóm demo + phát biểu
2A202601921 - Mai Hồng Sơn - 1 điểm - Nhóm demo
2A202601441 - Lê Thị Linh - 1 điểm - Nhóm demo
2A202601583 - Vũ Thu Huyền - 1 điểm - Nhóm demo
2A202601637 - Lường Thị Hảo - 1 điểm - Nhóm demo
2A202601063 - Nguyễn Đức Anh - 1 điểm - Nhóm demo
2A202601227 - Phan Văn Hiếu - 1 điểm - Nhóm demo
2A202601697 - Nguyễn Huy Tỏa - 1 điểm - Nhóm demo
2A202601197 - Tạ Long Khánh - 1 điểm - Nhóm demo
2A202601761 - Vũ Đăng Huy - 1 điểm - Nhóm demo
2A202601821 - Lê Quang Huy - 1 điểm - Phát biểu
2A202601725 - Nguyễn Đức Trung - 1 điểm - Nhóm demo
2A202602039 - Nguyễn Tuấn Nam - 1 điểm - Nhóm demo
2A202601049 - Nguyễn Quang Vinh - 1 điểm - Nhóm demo
2A202601347 - Đinh Quang Minh - 1 điểm - Nhóm demo
2A202601913 - Lại Duy Đông - 1 điểm - Nhóm demo
2A202601671 - Trần Xuân Lộc - 1 điểm - Phát biểu
2A202601409 - Ngô Tuấn Hưng - 1 điểm - Phát biểu
2A202601745 - Đào Ngọc Bích - 1 điểm - Phát biểu
2A202601191 - Vũ Đức Anh - 1 điểm - Phát biểu</t>
  </si>
  <si>
    <t>K4-DAY08-LEC-D301</t>
  </si>
  <si>
    <t>01590 - Lê Ngô Thanh Toàn - 3 - Phát biểu trong lớp
01318 - Ngô Thị Thảo Linh - 3 - Phát biểu trong lớp
01098 - Giang Trung Quân - 3 - Phát biểu trong lớp
01524 - Ngô Văn Kiệt - 3 - Phát biểu trong lớp</t>
  </si>
  <si>
    <t>Key nên chuẩn bị trước bài lab và hướng dẫn ở nhà. Và lab coach cần đi đúng giờ (trước giờ học 15p)</t>
  </si>
  <si>
    <t>K3-DAY09-LEC-C401</t>
  </si>
  <si>
    <t>K4-DAY07-LAB-D303</t>
  </si>
  <si>
    <t>2A202601016 - Lê Văn Tuấn - 6 - Top1 Kahoot, Top1 zone
2A202601074 - Trịnh Đắc Vụ - 1 - Thuyết trình đầu Zone 2
2A202601150 - Nguyễn Thị Thanh Hiền - 3 - Top 1 thuyết trình zone
2A202601152 - Phạm Hải Yến - 3 - Top 1 thuyết trình zone
2A202601156 - Nguyễn Ngọc Hiệp - 1 - top 3 kahoot
2A202601170 - Trịnh Xuân Hóa - 1 - nhóm thuyết trình đầu của zone
2A202601218 - Trần Văn Toàn - 3 - Top 1 thuyết trình zone
2A202601248 - Lê Nguyễn Minh Quang - 1 - nhóm thuyết trình đầu của zone
2A202601250 - Vũ Hoàng Việt - 3 - Top1 zone
2A202601278 - Đỗ Thành Đạt - 3 - Top 1 thuyết trình zone
2A202601282 - Lê Duy Đông - 1 - nhóm thuyết trình đầu của zone
2A202601388 - Nguyễn Thị Hải Yến - 1 - Thuyết trình đầu Zone 2
2A202601396 - Nguyễn Thành Công - 3 - Top 1 thuyết trình zone
2A202601420 - Cao Hương Giang - 3 - Top1 zone
2A202601476 - Nguyễn Lê Quân - 1 - Thuyết trình đầu Zone 2
2A202601500 - Hoàng Tuấn Minh - 3 - Top1 zone
2A202601586 - Nguyễn Công Việt Quang - 3 - Top 1 thuyết trình zone
2A202601648 - Trần Thị Hường - 3 - Top 1 thuyết trình zone
2A202601722 - Vũ Ngọc Hùng - 3 - Top 2 kahoot . Hùng 01722, nhóm thuyết trình đầu của zone
2A202601738 - Nguyễn Khánh Toàn - 1 - nhóm thuyết trình đầu của zone
2A202601778 - Trần Hoàng Khôi - 3 - Top 1 thuyết trình zone
2A202601812 - Trần Minh Hiển - 3 - Top 1 thuyết trình zone
2A202601816 - Nguyễn Minh Hiếu - 1 - điểm cộng thuyết trình đầu
2A202601892 - Đinh Tuấn Minh - 1 - Thuyết trình đầu Zone 2
2A202601895 - Đỗ Đình Thi - 1 - Thuyết trình đầu Zone 2
2A202602005 - Trương Minh Tâm - 3 - Top 1 thuyết trình zone
2A202602035 - Nguyễn Trọng Khánh - 3 - Top1 zone</t>
  </si>
  <si>
    <t>Cải thiện bài lab day07, thêm task để làm cho học viên</t>
  </si>
  <si>
    <t>K4-DAY08-LAB-E402</t>
  </si>
  <si>
    <t>1967 - Nguyễn Tuấn Thành - 1 - Lên Demo
1234 - Nguyễn Ngọc Gia Bảo - 1 - Lên Demo
1052 - Trần Quí Đôn - 1 - Lên Demo
1590 - Lê Ngô Thanh Toàn - 1 - Lên Demo
1936 - Nguyễn Đức Hưng - 1 - Lên Demo
1782 - Tạ Thị Thu Huyền - 1 - Lên Demo
1098 - Giang Trung Quân - 1 - Lên Demo
1212 - Trương Quang Minh - 1 - Lên Demo
1240 - Phạm Hà Anh - 1 - Lên Demo
1254 - Phạm Ngọc Quốc Khánh - 1 - Lên Demo
1260 - Phạm Anh Minh - 1 - Lên Demo</t>
  </si>
  <si>
    <t>K3-DAY09-LEC-D301</t>
  </si>
  <si>
    <t>01974 - Nguyễn Văn Trường - 3 - Trả lời câu hỏi trên lớp
01201 - Nguyễn Thanh Hoàn - 3 - Trả lời câu hỏi trên lớp
01385 - Trần Thị Ngọc Lan - 3 - Trả lời câu hỏi trên lớp
01267 - Trần Thị Thanh Tâm - 3 - Trả lời câu hỏi trên lớp
01241 - Nguyễn Văn Phong - 3 - Trả lời câu hỏi trên lớp
01045 - Nguyễn Lê Minh - 3 - Trả lời câu hỏi trên lớp
01365 - Ngô Thị Hằng - 3 - Trả lời câu hỏi trên lớp</t>
  </si>
  <si>
    <t>K4-DAY09-LEC-D301</t>
  </si>
  <si>
    <t>2A202601318 - Ngô Thị Thảo Linh - 2 - Phát biểu
2A202601054 - Hoàng Trung Hải - 1 - Phát biểu
2A202601926 - Ngô Mạnh Minh Huy - 1 - Phát biểu
2A202601124 - Hoàng Thành Vinh - 1 - Phát biểu
2A202601240 - Phạm Hà Anh - 1 - Phát biểu</t>
  </si>
  <si>
    <t>hvnia2010@gmail.com</t>
  </si>
  <si>
    <t>K3-DAY09-LAB-D304</t>
  </si>
  <si>
    <t>01931 - Nguyễn Chí Hiếu - 7 - Demo Lab 
01912 - Huỳnh Thị Hải Châu - 7 - Demo Lab
01311 - Hoàng Huyền Trang - 7 - Demo Lab
01621 - Đinh Thị Diễm Quỳnh - 7 - Demo Lab
01043 - Tô Minh Đức - 7 - Demo Lab
01837 - Phạm Văn Sâm - 7 - Demo Lab
01379 - Nguyễn Đỗ Khải Hoàn - 7 - Demo Lab
01537 - Nguyễn Văn Duy - 7 - Demo Lab
01481 - Vương Trần Hoàn - 7 - Demo Lab
01945 - Lê Thành Vinh - 7 - Demo Lab
01938 - Nguyễn Gia Bảo - 7 - Demo Lab
01573 - Nguyễn Lê Minh - 7 - Demo Lab
01175 - Đỗ Hùng Anh - 7 - Demo Lab
01669 - Nguyễn Tuấn Anh - 7 - Demo Lab
01962 - Nguyễn Thị Lý - 7 - Demo Lab
01735 - NguyễnAnhTrà - 4 - Top3 Kahoot
01331- Đỗ Thái Dương - 3 - Top 4 Kahoot
01635 - Nguyễn Văn Huy - 5 - Top 2 Kahoot
01355 - Nguyễn Phương Linh - 6 - Top1 Kahoot
01669 - nguyễn tuấn anh - 2 - Trả lời câu hỏi
01153 - Phạm Phúc Minh - 2 - Top5 Kahoot
01153 - Phạm Phúc Minh - 7 - Demo Lab
01237 - Dương Đức Trung - 7 - Demo Lab
01369 - Trần Quốc Việt - 7 - Demo Lab
01437 - Nguyễn Xuân Huy - 7 - Demo Lab</t>
  </si>
  <si>
    <t>vuong2002vp@gmail.com</t>
  </si>
  <si>
    <t>K3-DAY09-LAB-E402</t>
  </si>
  <si>
    <t>ndm211005@gmail.com</t>
  </si>
  <si>
    <t>K3-DAY09-LAB-E403</t>
  </si>
  <si>
    <t>Đỗ Nhật Minh - 2A202601085 - 5 - Demo cuối buổi
Trần Đức Thiện - 2A202602032 - 5 - Demo cuối buổi
Trương Minh Hoàng - 2A202602004 - 5 - Demo cuối buổi
Mai Việt Anh - 01083 - 5 - Demo cuối buổi
Lương Đăng Doanh - 01209 - 5 - Demo cuối buổi
Trần Tuấn Trung - 01769 - 5 - Demo cuối buổi
Phùng Văn Đạt - 02012 - 5 - Demo cuối buổi
Nguyễn Quang Huy - 01873 - 5 - Demo cuối buổi
Trần Xuân Bách - 2A202601093 - 5 - Demo cuối buổi
Đinh Hoài Nam - 2A202601889 - 5 - Demo cuối buổi
Phạm Thị Thùy Linh - 2A202601181 - 5 - Demo cuối buổi
Trịnh Quốc Trọng - 2A202601779 - 5 - Demo cuối buổi
Lã Minh Đức - 2A202601261 - 3 - Demo cuối buổi
Hà Nhật Khánh Duy - 2A202602031 - 3 - Demo cuối buổi
Hoàng Tuấn Trung - 2A202601807 - 3 - Demo cuối buổi
Lâm Việt Hoàng - 2A202601067 - 3 - Demo cuối buổi
Trần Huy Hoàng - 2A202601709 - 3 - Demo cuối buổi
Bùi Hữu Nghĩa - 2A202601880 - 3 - Demo cuối buổi</t>
  </si>
  <si>
    <t>K4-DAY09-LEC-D302</t>
  </si>
  <si>
    <t>K4-DAY09-LAB-E402</t>
  </si>
  <si>
    <t>K4-DAY09-LAB-D304</t>
  </si>
  <si>
    <t>01154 - Nguyễn Minh Học - 5 - Top 1 Quiz
01324-Trần Hoàng Mai Anh - 4 - Top2 Quiz
02003 - Trần Văn Thắng - 3 - Top 3 Quiz
01256 - Nguyễn Hùng Mạnh - 2 - Top 4 Quiz
01945 - Nguyễn Minh Công - 1 - Top 5 Quiz
01306 - Dương Đức Minh - 5 - Demo cuối giờ
01140 - Nguyễn Thanh Tùng - 5 - Demo cuối giờ 
01606 -  Phạm Tấn Gia Quốc - 5 - Demo cuối giờ
01862 - Thái Hoài An - 5 - Demo cuối giờ</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</si>
</sst>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b/>
      <sz val="16.0"/>
      <color rgb="FFFFFFFF"/>
      <name val="Arial"/>
      <scheme val="minor"/>
    </font>
    <font>
      <color theme="1"/>
      <name val="Arial"/>
      <scheme val="minor"/>
    </font>
    <font>
      <i/>
      <color rgb="FF5F6368"/>
      <name val="Arial"/>
      <scheme val="minor"/>
    </font>
  </fonts>
  <fills count="4">
    <fill>
      <patternFill patternType="none"/>
    </fill>
    <fill>
      <patternFill patternType="lightGray"/>
    </fill>
    <fill>
      <patternFill patternType="solid">
        <fgColor rgb="FFD2E3FC"/>
        <bgColor rgb="FFD2E3FC"/>
      </patternFill>
    </fill>
    <fill>
      <patternFill patternType="solid">
        <fgColor rgb="FF1A73E8"/>
        <bgColor rgb="FF1A73E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2" fontId="1" numFmtId="0" xfId="0" applyAlignment="1" applyFont="1">
      <alignment horizontal="center" readingOrder="0"/>
    </xf>
    <xf borderId="0" fillId="0" fontId="3"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0" xfId="0" applyFont="1"/>
    <xf borderId="0" fillId="0" fontId="3" numFmtId="2" xfId="0" applyFont="1" applyNumberFormat="1"/>
    <xf borderId="0" fillId="0" fontId="3"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wrapText="1"/>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123" displayName="Form_Responses" name="Form_Responses" id="1">
  <tableColumns count="28">
    <tableColumn name="Timestamp" id="1"/>
    <tableColumn name="Email Address" id="2"/>
    <tableColumn name="Mã buổi học / Session ID" id="3"/>
    <tableColumn name="Ca học" id="4"/>
    <tableColumn name="Tên Lab Coach" id="5"/>
    <tableColumn name="Kết quả chung của buổi học" id="6"/>
    <tableColumn name="Trạng thái kết thúc buổi" id="7"/>
    <tableColumn name="Danh sách học viên được cộng điểm" id="8"/>
    <tableColumn name="Buổi này có trường hợp bị stuck không?" id="9"/>
    <tableColumn name="Phạm vi ảnh hưởng" id="10"/>
    <tableColumn name="Nhóm nguyên nhân" id="11"/>
    <tableColumn name="Mức ảnh hưởng cao nhất" id="12"/>
    <tableColumn name="Trạng thái cuối buổi của các case stuck" id="13"/>
    <tableColumn name="Người/nhóm cần tiếp tục xử lý" id="14"/>
    <tableColumn name="Chi tiết các case stuck" id="15"/>
    <tableColumn name="Deadline follow-up" id="16"/>
    <tableColumn name="Trong buổi có nhận được feedback trực tiếp từ học viên không?" id="17"/>
    <tableColumn name="Feedback tích cực được nhắc đến" id="18"/>
    <tableColumn name="Điểm học viên thấy khó hoặc chưa tốt" id="19"/>
    <tableColumn name="Mức độ tham gia của lớp" id="20"/>
    <tableColumn name="Mức độ hiểu bài quan sát được" id="21"/>
    <tableColumn name="Nhịp độ buổi học" id="22"/>
    <tableColumn name="Độ phù hợp của bài lab" id="23"/>
    <tableColumn name="Chất lượng tài liệu/hướng dẫn" id="24"/>
    <tableColumn name="Ghi chú hoặc đề xuất cải thiện" id="25"/>
    <tableColumn name="Sau buổi học có việc cần bàn giao hoặc follow-up không?" id="26"/>
    <tableColumn name="Nội dung cần bàn giao" id="27"/>
    <tableColumn name="Xác nhận dữ liệu"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3.5"/>
    <col customWidth="1" min="4" max="5" width="18.88"/>
    <col customWidth="1" min="6" max="6" width="25.38"/>
    <col customWidth="1" min="7" max="7" width="22.38"/>
    <col customWidth="1" min="8" max="8" width="71.5"/>
    <col customWidth="1" min="9" max="9" width="33.88"/>
    <col customWidth="1" min="10" max="10" width="19.38"/>
    <col customWidth="1" min="11" max="11" width="177.5"/>
    <col customWidth="1" min="12" max="12" width="23.5"/>
    <col customWidth="1" min="13" max="13" width="33.88"/>
    <col customWidth="1" min="14" max="14" width="27.25"/>
    <col customWidth="1" min="15" max="15" width="21.63"/>
    <col customWidth="1" min="16" max="16" width="18.88"/>
    <col customWidth="1" min="17" max="17" width="37.63"/>
    <col customWidth="1" min="18" max="18" width="29.75"/>
    <col customWidth="1" min="19" max="19" width="32.5"/>
    <col customWidth="1" min="20" max="20" width="23.38"/>
    <col customWidth="1" min="21" max="21" width="27.75"/>
    <col customWidth="1" min="22" max="22" width="18.88"/>
    <col customWidth="1" min="23" max="23" width="21.88"/>
    <col customWidth="1" min="24" max="24" width="26.88"/>
    <col customWidth="1" min="25" max="25" width="27.13"/>
    <col customWidth="1" min="26" max="26" width="37.63"/>
    <col customWidth="1" min="27" max="27" width="21.63"/>
    <col customWidth="1" min="28" max="34" width="18.88"/>
  </cols>
  <sheetData>
    <row r="1" ht="22.5" customHeight="1">
      <c r="A1" s="9" t="s">
        <v>39</v>
      </c>
      <c r="B1" s="9" t="s">
        <v>50</v>
      </c>
      <c r="C1" s="9" t="s">
        <v>52</v>
      </c>
      <c r="D1" s="9" t="s">
        <v>6</v>
      </c>
      <c r="E1" s="9" t="s">
        <v>55</v>
      </c>
      <c r="F1" s="9" t="s">
        <v>57</v>
      </c>
      <c r="G1" s="9" t="s">
        <v>59</v>
      </c>
      <c r="H1" s="9" t="s">
        <v>61</v>
      </c>
      <c r="I1" s="9" t="s">
        <v>62</v>
      </c>
      <c r="J1" s="9" t="s">
        <v>64</v>
      </c>
      <c r="K1" s="9" t="s">
        <v>65</v>
      </c>
      <c r="L1" s="9" t="s">
        <v>68</v>
      </c>
      <c r="M1" s="9" t="s">
        <v>70</v>
      </c>
      <c r="N1" s="9" t="s">
        <v>71</v>
      </c>
      <c r="O1" s="9" t="s">
        <v>73</v>
      </c>
      <c r="P1" s="9" t="s">
        <v>76</v>
      </c>
      <c r="Q1" s="9" t="s">
        <v>79</v>
      </c>
      <c r="R1" s="9" t="s">
        <v>80</v>
      </c>
      <c r="S1" s="9" t="s">
        <v>82</v>
      </c>
      <c r="T1" s="9" t="s">
        <v>83</v>
      </c>
      <c r="U1" s="9" t="s">
        <v>85</v>
      </c>
      <c r="V1" s="9" t="s">
        <v>87</v>
      </c>
      <c r="W1" s="9" t="s">
        <v>91</v>
      </c>
      <c r="X1" s="9" t="s">
        <v>93</v>
      </c>
      <c r="Y1" s="9" t="s">
        <v>94</v>
      </c>
      <c r="Z1" s="9" t="s">
        <v>96</v>
      </c>
      <c r="AA1" s="9" t="s">
        <v>98</v>
      </c>
      <c r="AB1" s="9" t="s">
        <v>99</v>
      </c>
    </row>
    <row r="2" ht="22.5" customHeight="1">
      <c r="A2" s="10">
        <v>46226.76009078704</v>
      </c>
      <c r="B2" s="11" t="s">
        <v>19</v>
      </c>
      <c r="C2" s="11" t="s">
        <v>18</v>
      </c>
      <c r="D2" s="11" t="s">
        <v>20</v>
      </c>
      <c r="E2" s="12"/>
      <c r="F2" s="12"/>
      <c r="G2" s="12"/>
      <c r="H2" s="11" t="s">
        <v>110</v>
      </c>
      <c r="I2" s="12"/>
      <c r="J2" s="11" t="s">
        <v>113</v>
      </c>
      <c r="K2" s="11" t="s">
        <v>115</v>
      </c>
      <c r="L2" s="11" t="s">
        <v>117</v>
      </c>
      <c r="M2" s="12"/>
      <c r="N2" s="12"/>
      <c r="O2" s="12"/>
      <c r="P2" s="12"/>
      <c r="Q2" s="12"/>
      <c r="R2" s="12"/>
      <c r="S2" s="12"/>
      <c r="T2" s="11">
        <v>5.0</v>
      </c>
      <c r="U2" s="12"/>
      <c r="V2" s="12"/>
      <c r="W2" s="12"/>
      <c r="X2" s="11">
        <v>5.0</v>
      </c>
      <c r="Y2" s="12"/>
      <c r="Z2" s="12"/>
      <c r="AA2" s="12"/>
      <c r="AB2" s="11" t="s">
        <v>132</v>
      </c>
    </row>
    <row r="3" ht="22.5" customHeight="1">
      <c r="A3" s="14">
        <v>46226.762437060184</v>
      </c>
      <c r="B3" s="15" t="s">
        <v>29</v>
      </c>
      <c r="C3" s="15" t="s">
        <v>28</v>
      </c>
      <c r="D3" s="15" t="s">
        <v>20</v>
      </c>
      <c r="H3" s="15" t="s">
        <v>137</v>
      </c>
      <c r="J3" s="15" t="s">
        <v>113</v>
      </c>
      <c r="K3" s="15" t="s">
        <v>140</v>
      </c>
      <c r="L3" s="15" t="s">
        <v>117</v>
      </c>
      <c r="T3" s="15">
        <v>5.0</v>
      </c>
      <c r="W3" s="15" t="s">
        <v>143</v>
      </c>
      <c r="X3" s="15">
        <v>4.0</v>
      </c>
      <c r="Y3" s="15" t="s">
        <v>145</v>
      </c>
      <c r="AB3" s="15" t="s">
        <v>132</v>
      </c>
    </row>
    <row r="4" ht="22.5" customHeight="1">
      <c r="A4" s="14">
        <v>46226.779034120365</v>
      </c>
      <c r="B4" s="15" t="s">
        <v>89</v>
      </c>
      <c r="C4" s="15" t="s">
        <v>45</v>
      </c>
      <c r="D4" s="15" t="s">
        <v>90</v>
      </c>
      <c r="J4" s="15" t="s">
        <v>151</v>
      </c>
      <c r="K4" s="15" t="s">
        <v>152</v>
      </c>
      <c r="L4" s="15" t="s">
        <v>117</v>
      </c>
      <c r="T4" s="15">
        <v>2.0</v>
      </c>
      <c r="W4" s="15" t="s">
        <v>143</v>
      </c>
      <c r="X4" s="15">
        <v>3.0</v>
      </c>
      <c r="AB4" s="15" t="s">
        <v>132</v>
      </c>
    </row>
    <row r="5" ht="22.5" customHeight="1">
      <c r="A5" s="14">
        <v>46226.80049212963</v>
      </c>
      <c r="B5" s="15" t="s">
        <v>159</v>
      </c>
      <c r="C5" s="15" t="s">
        <v>28</v>
      </c>
      <c r="D5" s="15" t="s">
        <v>20</v>
      </c>
      <c r="J5" s="15" t="s">
        <v>151</v>
      </c>
      <c r="K5" s="15" t="s">
        <v>162</v>
      </c>
      <c r="L5" s="15" t="s">
        <v>117</v>
      </c>
      <c r="T5" s="15">
        <v>5.0</v>
      </c>
      <c r="X5" s="15">
        <v>3.0</v>
      </c>
      <c r="AB5" s="15" t="s">
        <v>132</v>
      </c>
    </row>
    <row r="6" ht="22.5" customHeight="1">
      <c r="A6" s="14">
        <v>46226.82379865741</v>
      </c>
      <c r="B6" s="15" t="s">
        <v>168</v>
      </c>
      <c r="C6" s="15" t="s">
        <v>28</v>
      </c>
      <c r="D6" s="15" t="s">
        <v>20</v>
      </c>
      <c r="J6" s="15" t="s">
        <v>171</v>
      </c>
      <c r="K6" s="15" t="s">
        <v>173</v>
      </c>
      <c r="L6" s="15" t="s">
        <v>117</v>
      </c>
      <c r="T6" s="15">
        <v>4.0</v>
      </c>
      <c r="W6" s="15" t="s">
        <v>143</v>
      </c>
      <c r="X6" s="15">
        <v>2.0</v>
      </c>
      <c r="Y6" s="15" t="s">
        <v>178</v>
      </c>
      <c r="AB6" s="15" t="s">
        <v>132</v>
      </c>
    </row>
    <row r="7" ht="22.5" customHeight="1">
      <c r="A7" s="14">
        <v>46226.88497013889</v>
      </c>
      <c r="B7" s="15" t="s">
        <v>41</v>
      </c>
      <c r="C7" s="15" t="s">
        <v>28</v>
      </c>
      <c r="D7" s="15" t="s">
        <v>20</v>
      </c>
      <c r="H7" s="15" t="s">
        <v>183</v>
      </c>
      <c r="J7" s="15" t="s">
        <v>171</v>
      </c>
      <c r="K7" s="15" t="s">
        <v>186</v>
      </c>
      <c r="L7" s="15" t="s">
        <v>117</v>
      </c>
      <c r="T7" s="15">
        <v>5.0</v>
      </c>
      <c r="W7" s="15" t="s">
        <v>143</v>
      </c>
      <c r="X7" s="15">
        <v>4.0</v>
      </c>
      <c r="Y7" s="15" t="s">
        <v>193</v>
      </c>
      <c r="AB7" s="15" t="s">
        <v>132</v>
      </c>
    </row>
    <row r="8" ht="22.5" customHeight="1">
      <c r="A8" s="14">
        <v>46226.91489215278</v>
      </c>
      <c r="B8" s="15" t="s">
        <v>47</v>
      </c>
      <c r="C8" s="15" t="s">
        <v>45</v>
      </c>
      <c r="D8" s="15" t="s">
        <v>20</v>
      </c>
      <c r="H8" s="15" t="s">
        <v>201</v>
      </c>
      <c r="J8" s="15" t="s">
        <v>171</v>
      </c>
      <c r="K8" s="15" t="s">
        <v>205</v>
      </c>
      <c r="L8" s="15" t="s">
        <v>117</v>
      </c>
      <c r="T8" s="15">
        <v>4.0</v>
      </c>
      <c r="X8" s="15">
        <v>2.0</v>
      </c>
      <c r="Y8" s="15" t="s">
        <v>210</v>
      </c>
      <c r="AB8" s="15" t="s">
        <v>132</v>
      </c>
    </row>
    <row r="9" ht="22.5" customHeight="1">
      <c r="A9" s="14">
        <v>46227.52759376157</v>
      </c>
      <c r="B9" s="15" t="s">
        <v>89</v>
      </c>
      <c r="C9" s="15" t="s">
        <v>88</v>
      </c>
      <c r="D9" s="15" t="s">
        <v>90</v>
      </c>
      <c r="H9" s="15" t="s">
        <v>219</v>
      </c>
      <c r="T9" s="15">
        <v>5.0</v>
      </c>
      <c r="W9" s="15" t="s">
        <v>143</v>
      </c>
      <c r="X9" s="15">
        <v>5.0</v>
      </c>
      <c r="AB9" s="15" t="s">
        <v>132</v>
      </c>
    </row>
    <row r="10" ht="22.5" customHeight="1">
      <c r="A10" s="14">
        <v>46227.5394943287</v>
      </c>
      <c r="B10" s="15" t="s">
        <v>29</v>
      </c>
      <c r="C10" s="15" t="s">
        <v>111</v>
      </c>
      <c r="D10" s="15" t="s">
        <v>90</v>
      </c>
      <c r="H10" s="15" t="s">
        <v>229</v>
      </c>
      <c r="T10" s="15">
        <v>5.0</v>
      </c>
      <c r="W10" s="15" t="s">
        <v>143</v>
      </c>
      <c r="X10" s="15">
        <v>4.0</v>
      </c>
      <c r="Y10" s="15" t="s">
        <v>234</v>
      </c>
      <c r="AB10" s="15" t="s">
        <v>132</v>
      </c>
    </row>
    <row r="11" ht="22.5" customHeight="1">
      <c r="A11" s="14">
        <v>46227.74529265046</v>
      </c>
      <c r="B11" s="15" t="s">
        <v>119</v>
      </c>
      <c r="C11" s="15" t="s">
        <v>118</v>
      </c>
      <c r="D11" s="15" t="s">
        <v>90</v>
      </c>
      <c r="H11" s="15" t="s">
        <v>243</v>
      </c>
      <c r="J11" s="15" t="s">
        <v>113</v>
      </c>
      <c r="K11" s="15" t="s">
        <v>246</v>
      </c>
      <c r="L11" s="15" t="s">
        <v>248</v>
      </c>
      <c r="T11" s="15">
        <v>5.0</v>
      </c>
      <c r="X11" s="15">
        <v>5.0</v>
      </c>
      <c r="Y11" s="15" t="s">
        <v>250</v>
      </c>
      <c r="AB11" s="15" t="s">
        <v>132</v>
      </c>
    </row>
    <row r="12" ht="22.5" customHeight="1">
      <c r="A12" s="14">
        <v>46227.74685002315</v>
      </c>
      <c r="B12" s="15" t="s">
        <v>119</v>
      </c>
      <c r="C12" s="15" t="s">
        <v>187</v>
      </c>
      <c r="D12" s="15" t="s">
        <v>20</v>
      </c>
      <c r="H12" s="15" t="s">
        <v>255</v>
      </c>
      <c r="J12" s="15" t="s">
        <v>113</v>
      </c>
      <c r="K12" s="15" t="s">
        <v>257</v>
      </c>
      <c r="L12" s="15" t="s">
        <v>258</v>
      </c>
      <c r="T12" s="15">
        <v>4.0</v>
      </c>
      <c r="W12" s="15" t="s">
        <v>260</v>
      </c>
      <c r="X12" s="15">
        <v>2.0</v>
      </c>
      <c r="Y12" s="15" t="s">
        <v>263</v>
      </c>
      <c r="AB12" s="15" t="s">
        <v>132</v>
      </c>
    </row>
    <row r="13" ht="22.5" customHeight="1">
      <c r="A13" s="14">
        <v>46227.74987295139</v>
      </c>
      <c r="B13" s="15" t="s">
        <v>89</v>
      </c>
      <c r="C13" s="15" t="s">
        <v>245</v>
      </c>
      <c r="D13" s="15" t="s">
        <v>20</v>
      </c>
      <c r="H13" s="15" t="s">
        <v>267</v>
      </c>
      <c r="T13" s="15">
        <v>5.0</v>
      </c>
      <c r="W13" s="15" t="s">
        <v>143</v>
      </c>
      <c r="X13" s="15">
        <v>5.0</v>
      </c>
      <c r="AB13" s="15" t="s">
        <v>132</v>
      </c>
    </row>
    <row r="14" ht="22.5" customHeight="1">
      <c r="A14" s="14">
        <v>46227.75264047454</v>
      </c>
      <c r="B14" s="15" t="s">
        <v>119</v>
      </c>
      <c r="C14" s="15" t="s">
        <v>187</v>
      </c>
      <c r="D14" s="15" t="s">
        <v>20</v>
      </c>
      <c r="H14" s="15" t="s">
        <v>272</v>
      </c>
      <c r="J14" s="15" t="s">
        <v>151</v>
      </c>
      <c r="K14" s="15" t="s">
        <v>273</v>
      </c>
      <c r="L14" s="15" t="s">
        <v>258</v>
      </c>
      <c r="T14" s="15">
        <v>4.0</v>
      </c>
      <c r="W14" s="15" t="s">
        <v>143</v>
      </c>
      <c r="X14" s="15">
        <v>2.0</v>
      </c>
      <c r="Y14" s="15" t="s">
        <v>274</v>
      </c>
      <c r="AB14" s="15" t="s">
        <v>132</v>
      </c>
    </row>
    <row r="15" ht="22.5" customHeight="1">
      <c r="A15" s="14">
        <v>46227.762203935185</v>
      </c>
      <c r="B15" s="15" t="s">
        <v>29</v>
      </c>
      <c r="C15" s="15" t="s">
        <v>275</v>
      </c>
      <c r="D15" s="15" t="s">
        <v>20</v>
      </c>
      <c r="H15" s="15" t="s">
        <v>276</v>
      </c>
      <c r="T15" s="15">
        <v>5.0</v>
      </c>
      <c r="W15" s="15" t="s">
        <v>143</v>
      </c>
      <c r="X15" s="15">
        <v>3.0</v>
      </c>
      <c r="AB15" s="15" t="s">
        <v>132</v>
      </c>
    </row>
    <row r="16" ht="22.5" customHeight="1">
      <c r="A16" s="14">
        <v>46227.7731431713</v>
      </c>
      <c r="B16" s="15" t="s">
        <v>277</v>
      </c>
      <c r="C16" s="15" t="s">
        <v>278</v>
      </c>
      <c r="D16" s="15" t="s">
        <v>20</v>
      </c>
      <c r="H16" s="15" t="s">
        <v>279</v>
      </c>
      <c r="T16" s="15">
        <v>5.0</v>
      </c>
      <c r="W16" s="15" t="s">
        <v>143</v>
      </c>
      <c r="X16" s="15">
        <v>5.0</v>
      </c>
      <c r="AB16" s="15" t="s">
        <v>132</v>
      </c>
    </row>
    <row r="17" ht="22.5" customHeight="1">
      <c r="A17" s="14">
        <v>46227.77440549769</v>
      </c>
      <c r="B17" s="15" t="s">
        <v>41</v>
      </c>
      <c r="C17" s="15" t="s">
        <v>280</v>
      </c>
      <c r="D17" s="15" t="s">
        <v>90</v>
      </c>
      <c r="J17" s="15" t="s">
        <v>171</v>
      </c>
      <c r="K17" s="15" t="s">
        <v>281</v>
      </c>
      <c r="L17" s="15" t="s">
        <v>283</v>
      </c>
      <c r="T17" s="15">
        <v>5.0</v>
      </c>
      <c r="W17" s="15" t="s">
        <v>143</v>
      </c>
      <c r="X17" s="15">
        <v>5.0</v>
      </c>
      <c r="Y17" s="15" t="s">
        <v>288</v>
      </c>
      <c r="AB17" s="15" t="s">
        <v>132</v>
      </c>
    </row>
    <row r="18" ht="22.5" customHeight="1">
      <c r="A18" s="14">
        <v>46227.77501020834</v>
      </c>
      <c r="B18" s="15" t="s">
        <v>277</v>
      </c>
      <c r="C18" s="15" t="s">
        <v>292</v>
      </c>
      <c r="D18" s="15" t="s">
        <v>90</v>
      </c>
      <c r="H18" s="15" t="s">
        <v>295</v>
      </c>
      <c r="T18" s="15">
        <v>5.0</v>
      </c>
      <c r="W18" s="15" t="s">
        <v>143</v>
      </c>
      <c r="X18" s="15">
        <v>5.0</v>
      </c>
      <c r="AB18" s="15" t="s">
        <v>132</v>
      </c>
    </row>
    <row r="19" ht="22.5" customHeight="1">
      <c r="A19" s="14">
        <v>46227.775744398146</v>
      </c>
      <c r="B19" s="15" t="s">
        <v>41</v>
      </c>
      <c r="C19" s="15" t="s">
        <v>302</v>
      </c>
      <c r="D19" s="15" t="s">
        <v>20</v>
      </c>
      <c r="J19" s="15" t="s">
        <v>171</v>
      </c>
      <c r="K19" s="15" t="s">
        <v>305</v>
      </c>
      <c r="L19" s="15" t="s">
        <v>283</v>
      </c>
      <c r="T19" s="15">
        <v>2.0</v>
      </c>
      <c r="W19" s="15" t="s">
        <v>143</v>
      </c>
      <c r="X19" s="15">
        <v>5.0</v>
      </c>
      <c r="AB19" s="15" t="s">
        <v>132</v>
      </c>
    </row>
    <row r="20" ht="22.5" customHeight="1">
      <c r="A20" s="14">
        <v>46227.782654571754</v>
      </c>
      <c r="B20" s="15" t="s">
        <v>312</v>
      </c>
      <c r="C20" s="15" t="s">
        <v>313</v>
      </c>
      <c r="D20" s="15" t="s">
        <v>90</v>
      </c>
      <c r="J20" s="15" t="s">
        <v>316</v>
      </c>
      <c r="K20" s="15" t="s">
        <v>152</v>
      </c>
      <c r="L20" s="15" t="s">
        <v>283</v>
      </c>
      <c r="T20" s="15">
        <v>5.0</v>
      </c>
      <c r="W20" s="15" t="s">
        <v>143</v>
      </c>
      <c r="X20" s="15">
        <v>4.0</v>
      </c>
      <c r="AB20" s="15" t="s">
        <v>132</v>
      </c>
    </row>
    <row r="21" ht="22.5" customHeight="1">
      <c r="A21" s="14">
        <v>46227.78667893518</v>
      </c>
      <c r="B21" s="15" t="s">
        <v>312</v>
      </c>
      <c r="C21" s="15" t="s">
        <v>324</v>
      </c>
      <c r="D21" s="15" t="s">
        <v>20</v>
      </c>
      <c r="H21" s="15" t="s">
        <v>327</v>
      </c>
      <c r="J21" s="15" t="s">
        <v>316</v>
      </c>
      <c r="K21" s="15" t="s">
        <v>329</v>
      </c>
      <c r="L21" s="15" t="s">
        <v>283</v>
      </c>
      <c r="T21" s="15">
        <v>5.0</v>
      </c>
      <c r="W21" s="15" t="s">
        <v>143</v>
      </c>
      <c r="X21" s="15">
        <v>4.0</v>
      </c>
      <c r="AB21" s="15" t="s">
        <v>132</v>
      </c>
    </row>
    <row r="22" ht="22.5" customHeight="1">
      <c r="A22" s="14">
        <v>46227.86297362269</v>
      </c>
      <c r="B22" s="15" t="s">
        <v>335</v>
      </c>
      <c r="C22" s="15" t="s">
        <v>302</v>
      </c>
      <c r="D22" s="15" t="s">
        <v>20</v>
      </c>
      <c r="H22" s="15" t="s">
        <v>342</v>
      </c>
      <c r="J22" s="15" t="s">
        <v>171</v>
      </c>
      <c r="K22" s="15" t="s">
        <v>345</v>
      </c>
      <c r="L22" s="15" t="s">
        <v>283</v>
      </c>
      <c r="T22" s="15">
        <v>5.0</v>
      </c>
      <c r="W22" s="15" t="s">
        <v>260</v>
      </c>
      <c r="X22" s="15">
        <v>4.0</v>
      </c>
      <c r="AB22" s="15" t="s">
        <v>132</v>
      </c>
    </row>
    <row r="23" ht="22.5" customHeight="1">
      <c r="A23" s="14">
        <v>46227.9395803125</v>
      </c>
      <c r="B23" s="15" t="s">
        <v>354</v>
      </c>
      <c r="C23" s="15" t="s">
        <v>280</v>
      </c>
      <c r="D23" s="15" t="s">
        <v>90</v>
      </c>
      <c r="H23" s="15" t="s">
        <v>359</v>
      </c>
      <c r="T23" s="15">
        <v>5.0</v>
      </c>
      <c r="W23" s="15" t="s">
        <v>143</v>
      </c>
      <c r="X23" s="15">
        <v>5.0</v>
      </c>
      <c r="AB23" s="15" t="s">
        <v>132</v>
      </c>
    </row>
    <row r="24" ht="22.5" customHeight="1">
      <c r="A24" s="14">
        <v>46227.94225414352</v>
      </c>
      <c r="B24" s="15" t="s">
        <v>354</v>
      </c>
      <c r="C24" s="15" t="s">
        <v>302</v>
      </c>
      <c r="D24" s="15" t="s">
        <v>20</v>
      </c>
      <c r="H24" s="15" t="s">
        <v>371</v>
      </c>
      <c r="J24" s="15" t="s">
        <v>171</v>
      </c>
      <c r="K24" s="15" t="s">
        <v>374</v>
      </c>
      <c r="L24" s="15" t="s">
        <v>117</v>
      </c>
      <c r="T24" s="15">
        <v>3.0</v>
      </c>
      <c r="W24" s="15" t="s">
        <v>143</v>
      </c>
      <c r="X24" s="15">
        <v>4.0</v>
      </c>
      <c r="AB24" s="15" t="s">
        <v>132</v>
      </c>
    </row>
    <row r="25" ht="22.5" customHeight="1">
      <c r="A25" s="14">
        <v>46227.98459091435</v>
      </c>
      <c r="B25" s="15" t="s">
        <v>383</v>
      </c>
      <c r="C25" s="15" t="s">
        <v>385</v>
      </c>
      <c r="D25" s="15" t="s">
        <v>90</v>
      </c>
      <c r="J25" s="15" t="s">
        <v>171</v>
      </c>
      <c r="K25" s="15" t="s">
        <v>329</v>
      </c>
      <c r="L25" s="15" t="s">
        <v>117</v>
      </c>
      <c r="T25" s="15">
        <v>4.0</v>
      </c>
      <c r="W25" s="15" t="s">
        <v>143</v>
      </c>
      <c r="X25" s="15">
        <v>4.0</v>
      </c>
      <c r="Y25" s="15" t="s">
        <v>393</v>
      </c>
      <c r="AB25" s="15" t="s">
        <v>132</v>
      </c>
    </row>
    <row r="26" ht="22.5" customHeight="1">
      <c r="A26" s="14">
        <v>46227.98613388889</v>
      </c>
      <c r="B26" s="15" t="s">
        <v>397</v>
      </c>
      <c r="C26" s="15" t="s">
        <v>399</v>
      </c>
      <c r="D26" s="15" t="s">
        <v>20</v>
      </c>
      <c r="K26" s="15" t="s">
        <v>329</v>
      </c>
      <c r="L26" s="15" t="s">
        <v>117</v>
      </c>
      <c r="T26" s="15">
        <v>4.0</v>
      </c>
      <c r="W26" s="15" t="s">
        <v>143</v>
      </c>
      <c r="X26" s="15">
        <v>4.0</v>
      </c>
      <c r="Y26" s="15" t="s">
        <v>409</v>
      </c>
      <c r="AB26" s="15" t="s">
        <v>132</v>
      </c>
    </row>
    <row r="27" ht="22.5" customHeight="1">
      <c r="A27" s="14">
        <v>46227.99303540509</v>
      </c>
      <c r="B27" s="15" t="s">
        <v>47</v>
      </c>
      <c r="C27" s="15" t="s">
        <v>385</v>
      </c>
      <c r="D27" s="15" t="s">
        <v>90</v>
      </c>
      <c r="H27" s="15" t="s">
        <v>421</v>
      </c>
      <c r="J27" s="15" t="s">
        <v>171</v>
      </c>
      <c r="K27" s="15" t="s">
        <v>425</v>
      </c>
      <c r="L27" s="15" t="s">
        <v>283</v>
      </c>
      <c r="T27" s="15">
        <v>4.0</v>
      </c>
      <c r="W27" s="15" t="s">
        <v>143</v>
      </c>
      <c r="X27" s="15">
        <v>2.0</v>
      </c>
      <c r="Y27" s="15" t="s">
        <v>430</v>
      </c>
      <c r="AB27" s="15" t="s">
        <v>132</v>
      </c>
    </row>
    <row r="28" ht="22.5" customHeight="1">
      <c r="A28" s="14">
        <v>46227.99567778935</v>
      </c>
      <c r="B28" s="15" t="s">
        <v>47</v>
      </c>
      <c r="C28" s="15" t="s">
        <v>399</v>
      </c>
      <c r="D28" s="15" t="s">
        <v>20</v>
      </c>
      <c r="H28" s="15" t="s">
        <v>438</v>
      </c>
      <c r="J28" s="15" t="s">
        <v>171</v>
      </c>
      <c r="K28" s="15" t="s">
        <v>305</v>
      </c>
      <c r="L28" s="15" t="s">
        <v>283</v>
      </c>
      <c r="T28" s="15">
        <v>3.0</v>
      </c>
      <c r="W28" s="15" t="s">
        <v>143</v>
      </c>
      <c r="X28" s="15">
        <v>3.0</v>
      </c>
      <c r="Y28" s="15" t="s">
        <v>448</v>
      </c>
      <c r="AB28" s="15" t="s">
        <v>132</v>
      </c>
    </row>
    <row r="29" ht="22.5" customHeight="1">
      <c r="A29" s="14">
        <v>46228.00316537037</v>
      </c>
      <c r="B29" s="15" t="s">
        <v>452</v>
      </c>
      <c r="C29" s="15" t="s">
        <v>455</v>
      </c>
      <c r="D29" s="15" t="s">
        <v>20</v>
      </c>
      <c r="H29" s="15" t="s">
        <v>458</v>
      </c>
      <c r="J29" s="15" t="s">
        <v>113</v>
      </c>
      <c r="K29" s="15" t="s">
        <v>461</v>
      </c>
      <c r="L29" s="15" t="s">
        <v>283</v>
      </c>
      <c r="T29" s="15">
        <v>5.0</v>
      </c>
      <c r="W29" s="15" t="s">
        <v>143</v>
      </c>
      <c r="X29" s="15">
        <v>5.0</v>
      </c>
      <c r="Y29" s="15" t="s">
        <v>468</v>
      </c>
      <c r="AB29" s="15" t="s">
        <v>132</v>
      </c>
    </row>
    <row r="30" ht="22.5" customHeight="1">
      <c r="A30" s="14">
        <v>46228.00719270833</v>
      </c>
      <c r="B30" s="15" t="s">
        <v>452</v>
      </c>
      <c r="C30" s="15" t="s">
        <v>474</v>
      </c>
      <c r="D30" s="15" t="s">
        <v>90</v>
      </c>
      <c r="H30" s="15" t="s">
        <v>477</v>
      </c>
      <c r="J30" s="15" t="s">
        <v>171</v>
      </c>
      <c r="K30" s="15" t="s">
        <v>482</v>
      </c>
      <c r="L30" s="15" t="s">
        <v>283</v>
      </c>
      <c r="T30" s="15">
        <v>3.0</v>
      </c>
      <c r="W30" s="15" t="s">
        <v>143</v>
      </c>
      <c r="X30" s="15">
        <v>5.0</v>
      </c>
      <c r="Y30" s="15" t="s">
        <v>489</v>
      </c>
      <c r="AB30" s="15" t="s">
        <v>132</v>
      </c>
    </row>
    <row r="31" ht="22.5" customHeight="1">
      <c r="A31" s="14">
        <v>46230.613703634255</v>
      </c>
      <c r="B31" s="15" t="s">
        <v>494</v>
      </c>
      <c r="C31" s="15" t="s">
        <v>497</v>
      </c>
      <c r="D31" s="15" t="s">
        <v>90</v>
      </c>
      <c r="H31" s="15" t="s">
        <v>500</v>
      </c>
      <c r="T31" s="15">
        <v>5.0</v>
      </c>
      <c r="W31" s="15" t="s">
        <v>143</v>
      </c>
      <c r="X31" s="15">
        <v>5.0</v>
      </c>
      <c r="AB31" s="15" t="s">
        <v>132</v>
      </c>
    </row>
    <row r="32" ht="22.5" customHeight="1">
      <c r="A32" s="14">
        <v>46230.80728328704</v>
      </c>
      <c r="B32" s="15" t="s">
        <v>507</v>
      </c>
      <c r="C32" s="15" t="s">
        <v>509</v>
      </c>
      <c r="D32" s="15" t="s">
        <v>20</v>
      </c>
      <c r="H32" s="15" t="s">
        <v>512</v>
      </c>
      <c r="J32" s="15" t="s">
        <v>171</v>
      </c>
      <c r="K32" s="15" t="s">
        <v>515</v>
      </c>
      <c r="L32" s="15" t="s">
        <v>117</v>
      </c>
      <c r="T32" s="15">
        <v>3.0</v>
      </c>
      <c r="W32" s="15" t="s">
        <v>143</v>
      </c>
      <c r="X32" s="15">
        <v>4.0</v>
      </c>
      <c r="Y32" s="15" t="s">
        <v>524</v>
      </c>
      <c r="AB32" s="15" t="s">
        <v>132</v>
      </c>
    </row>
    <row r="33" ht="22.5" customHeight="1">
      <c r="A33" s="14">
        <v>46230.81353622685</v>
      </c>
      <c r="B33" s="15" t="s">
        <v>312</v>
      </c>
      <c r="C33" s="15" t="s">
        <v>527</v>
      </c>
      <c r="D33" s="15" t="s">
        <v>90</v>
      </c>
      <c r="T33" s="15">
        <v>5.0</v>
      </c>
      <c r="W33" s="15" t="s">
        <v>143</v>
      </c>
      <c r="X33" s="15">
        <v>5.0</v>
      </c>
      <c r="AB33" s="15" t="s">
        <v>132</v>
      </c>
    </row>
    <row r="34" ht="22.5" customHeight="1">
      <c r="A34" s="14">
        <v>46230.879060983796</v>
      </c>
      <c r="B34" s="15" t="s">
        <v>312</v>
      </c>
      <c r="C34" s="15" t="s">
        <v>533</v>
      </c>
      <c r="D34" s="15" t="s">
        <v>20</v>
      </c>
      <c r="H34" s="15" t="s">
        <v>535</v>
      </c>
      <c r="T34" s="15">
        <v>5.0</v>
      </c>
      <c r="W34" s="15" t="s">
        <v>143</v>
      </c>
      <c r="X34" s="15">
        <v>5.0</v>
      </c>
      <c r="AB34" s="15" t="s">
        <v>132</v>
      </c>
    </row>
    <row r="35" ht="22.5" customHeight="1">
      <c r="A35" s="14">
        <v>46230.90631065972</v>
      </c>
      <c r="B35" s="15" t="s">
        <v>539</v>
      </c>
      <c r="C35" s="15" t="s">
        <v>540</v>
      </c>
      <c r="D35" s="15" t="s">
        <v>90</v>
      </c>
      <c r="H35" s="15" t="s">
        <v>543</v>
      </c>
      <c r="T35" s="15">
        <v>5.0</v>
      </c>
      <c r="W35" s="15" t="s">
        <v>143</v>
      </c>
      <c r="X35" s="15">
        <v>4.0</v>
      </c>
      <c r="Y35" s="15" t="s">
        <v>145</v>
      </c>
      <c r="AB35" s="15" t="s">
        <v>132</v>
      </c>
    </row>
    <row r="36" ht="22.5" customHeight="1">
      <c r="A36" s="14">
        <v>46230.91009936343</v>
      </c>
      <c r="B36" s="15" t="s">
        <v>548</v>
      </c>
      <c r="C36" s="15" t="s">
        <v>549</v>
      </c>
      <c r="D36" s="15" t="s">
        <v>20</v>
      </c>
      <c r="H36" s="15" t="s">
        <v>551</v>
      </c>
      <c r="T36" s="15">
        <v>5.0</v>
      </c>
      <c r="W36" s="15" t="s">
        <v>143</v>
      </c>
      <c r="X36" s="15">
        <v>4.0</v>
      </c>
      <c r="Y36" s="15" t="s">
        <v>145</v>
      </c>
      <c r="AB36" s="15" t="s">
        <v>132</v>
      </c>
    </row>
    <row r="37" ht="22.5" customHeight="1">
      <c r="A37" s="14">
        <v>46230.92888221065</v>
      </c>
      <c r="B37" s="15" t="s">
        <v>494</v>
      </c>
      <c r="C37" s="15" t="s">
        <v>556</v>
      </c>
      <c r="D37" s="15" t="s">
        <v>20</v>
      </c>
      <c r="H37" s="15" t="s">
        <v>558</v>
      </c>
      <c r="T37" s="15">
        <v>5.0</v>
      </c>
      <c r="W37" s="15" t="s">
        <v>143</v>
      </c>
      <c r="X37" s="15">
        <v>5.0</v>
      </c>
      <c r="Y37" s="15" t="s">
        <v>562</v>
      </c>
      <c r="AB37" s="15" t="s">
        <v>132</v>
      </c>
    </row>
    <row r="38" ht="22.5" customHeight="1">
      <c r="A38" s="14">
        <v>46230.94474489584</v>
      </c>
      <c r="B38" s="15" t="s">
        <v>564</v>
      </c>
      <c r="C38" s="15" t="s">
        <v>566</v>
      </c>
      <c r="D38" s="15" t="s">
        <v>90</v>
      </c>
      <c r="H38" s="15" t="s">
        <v>568</v>
      </c>
      <c r="T38" s="15">
        <v>4.0</v>
      </c>
      <c r="W38" s="15" t="s">
        <v>143</v>
      </c>
      <c r="X38" s="15">
        <v>4.0</v>
      </c>
      <c r="AB38" s="15" t="s">
        <v>132</v>
      </c>
    </row>
    <row r="39" ht="22.5" customHeight="1">
      <c r="A39" s="14">
        <v>46230.9451944676</v>
      </c>
      <c r="B39" s="15" t="s">
        <v>564</v>
      </c>
      <c r="C39" s="15" t="s">
        <v>573</v>
      </c>
      <c r="D39" s="15" t="s">
        <v>20</v>
      </c>
      <c r="T39" s="15">
        <v>4.0</v>
      </c>
      <c r="X39" s="15">
        <v>4.0</v>
      </c>
      <c r="AB39" s="15" t="s">
        <v>132</v>
      </c>
    </row>
    <row r="40" ht="22.5" customHeight="1">
      <c r="A40" s="14">
        <v>46230.948916354166</v>
      </c>
      <c r="B40" s="15" t="s">
        <v>89</v>
      </c>
      <c r="C40" s="15" t="s">
        <v>579</v>
      </c>
      <c r="D40" s="15" t="s">
        <v>90</v>
      </c>
      <c r="H40" s="15" t="s">
        <v>582</v>
      </c>
      <c r="T40" s="15">
        <v>5.0</v>
      </c>
      <c r="W40" s="15" t="s">
        <v>143</v>
      </c>
      <c r="X40" s="15">
        <v>4.0</v>
      </c>
      <c r="AB40" s="15" t="s">
        <v>132</v>
      </c>
    </row>
    <row r="41" ht="22.5" customHeight="1">
      <c r="A41" s="14">
        <v>46230.94968769676</v>
      </c>
      <c r="B41" s="15" t="s">
        <v>89</v>
      </c>
      <c r="C41" s="15" t="s">
        <v>579</v>
      </c>
      <c r="D41" s="15" t="s">
        <v>90</v>
      </c>
      <c r="H41" s="15" t="s">
        <v>588</v>
      </c>
      <c r="T41" s="15">
        <v>5.0</v>
      </c>
      <c r="W41" s="15" t="s">
        <v>143</v>
      </c>
      <c r="X41" s="15">
        <v>5.0</v>
      </c>
      <c r="AB41" s="15" t="s">
        <v>132</v>
      </c>
    </row>
    <row r="42" ht="22.5" customHeight="1">
      <c r="A42" s="14">
        <v>46230.95011634259</v>
      </c>
      <c r="B42" s="15" t="s">
        <v>89</v>
      </c>
      <c r="C42" s="15" t="s">
        <v>593</v>
      </c>
      <c r="D42" s="15" t="s">
        <v>20</v>
      </c>
      <c r="H42" s="15" t="s">
        <v>582</v>
      </c>
      <c r="T42" s="15">
        <v>5.0</v>
      </c>
      <c r="X42" s="15">
        <v>5.0</v>
      </c>
      <c r="AB42" s="15" t="s">
        <v>132</v>
      </c>
    </row>
    <row r="43" ht="22.5" customHeight="1">
      <c r="A43" s="14">
        <v>46230.96860570602</v>
      </c>
      <c r="B43" s="15" t="s">
        <v>598</v>
      </c>
      <c r="C43" s="15" t="s">
        <v>599</v>
      </c>
      <c r="D43" s="15" t="s">
        <v>90</v>
      </c>
      <c r="H43" s="15" t="s">
        <v>601</v>
      </c>
      <c r="J43" s="15" t="s">
        <v>316</v>
      </c>
      <c r="K43" s="15" t="s">
        <v>604</v>
      </c>
      <c r="L43" s="15" t="s">
        <v>283</v>
      </c>
      <c r="T43" s="15">
        <v>4.0</v>
      </c>
      <c r="W43" s="15" t="s">
        <v>143</v>
      </c>
      <c r="X43" s="15">
        <v>4.0</v>
      </c>
      <c r="AB43" s="15" t="s">
        <v>132</v>
      </c>
    </row>
    <row r="44" ht="22.5" customHeight="1">
      <c r="A44" s="14">
        <v>46231.002287511576</v>
      </c>
      <c r="B44" s="15" t="s">
        <v>609</v>
      </c>
      <c r="C44" s="15" t="s">
        <v>611</v>
      </c>
      <c r="D44" s="15" t="s">
        <v>90</v>
      </c>
      <c r="H44" s="15" t="s">
        <v>614</v>
      </c>
      <c r="T44" s="15">
        <v>5.0</v>
      </c>
      <c r="W44" s="15" t="s">
        <v>143</v>
      </c>
      <c r="X44" s="15">
        <v>5.0</v>
      </c>
      <c r="AB44" s="15" t="s">
        <v>132</v>
      </c>
    </row>
    <row r="45" ht="22.5" customHeight="1">
      <c r="A45" s="14">
        <v>46231.00639273148</v>
      </c>
      <c r="B45" s="15" t="s">
        <v>609</v>
      </c>
      <c r="C45" s="15" t="s">
        <v>620</v>
      </c>
      <c r="D45" s="15" t="s">
        <v>20</v>
      </c>
      <c r="H45" s="15" t="s">
        <v>623</v>
      </c>
      <c r="T45" s="15">
        <v>5.0</v>
      </c>
      <c r="W45" s="15" t="s">
        <v>143</v>
      </c>
      <c r="X45" s="15">
        <v>5.0</v>
      </c>
      <c r="AB45" s="15" t="s">
        <v>132</v>
      </c>
    </row>
    <row r="46" ht="22.5" customHeight="1">
      <c r="A46" s="14">
        <v>46231.634851724535</v>
      </c>
      <c r="B46" s="15" t="s">
        <v>631</v>
      </c>
      <c r="C46" s="15" t="s">
        <v>632</v>
      </c>
      <c r="D46" s="15" t="s">
        <v>90</v>
      </c>
      <c r="H46" s="15" t="s">
        <v>635</v>
      </c>
      <c r="L46" s="15" t="s">
        <v>117</v>
      </c>
      <c r="T46" s="15">
        <v>4.0</v>
      </c>
      <c r="W46" s="15" t="s">
        <v>143</v>
      </c>
      <c r="X46" s="15">
        <v>4.0</v>
      </c>
      <c r="Y46" s="15" t="s">
        <v>639</v>
      </c>
      <c r="AB46" s="15" t="s">
        <v>132</v>
      </c>
    </row>
    <row r="47" ht="22.5" customHeight="1">
      <c r="A47" s="14">
        <v>46231.70357885417</v>
      </c>
      <c r="B47" s="15" t="s">
        <v>89</v>
      </c>
      <c r="C47" s="15" t="s">
        <v>642</v>
      </c>
      <c r="D47" s="15" t="s">
        <v>90</v>
      </c>
      <c r="H47" s="15" t="s">
        <v>645</v>
      </c>
      <c r="T47" s="15">
        <v>5.0</v>
      </c>
      <c r="X47" s="15">
        <v>5.0</v>
      </c>
      <c r="AB47" s="15" t="s">
        <v>132</v>
      </c>
    </row>
    <row r="48" ht="22.5" customHeight="1">
      <c r="A48" s="14">
        <v>46231.74199258102</v>
      </c>
      <c r="B48" s="15" t="s">
        <v>648</v>
      </c>
      <c r="C48" s="15" t="s">
        <v>650</v>
      </c>
      <c r="D48" s="15" t="s">
        <v>20</v>
      </c>
      <c r="H48" s="15" t="s">
        <v>652</v>
      </c>
      <c r="T48" s="15">
        <v>4.0</v>
      </c>
      <c r="X48" s="15">
        <v>5.0</v>
      </c>
      <c r="AB48" s="15" t="s">
        <v>132</v>
      </c>
    </row>
    <row r="49" ht="22.5" customHeight="1">
      <c r="A49" s="14">
        <v>46231.74790184028</v>
      </c>
      <c r="B49" s="15" t="s">
        <v>89</v>
      </c>
      <c r="C49" s="15" t="s">
        <v>656</v>
      </c>
      <c r="D49" s="15" t="s">
        <v>20</v>
      </c>
      <c r="H49" s="15" t="s">
        <v>659</v>
      </c>
      <c r="AB49" s="15" t="s">
        <v>132</v>
      </c>
    </row>
    <row r="50" ht="22.5" customHeight="1">
      <c r="A50" s="14">
        <v>46231.79662221065</v>
      </c>
      <c r="B50" s="15" t="s">
        <v>661</v>
      </c>
      <c r="C50" s="15" t="s">
        <v>663</v>
      </c>
      <c r="D50" s="15" t="s">
        <v>90</v>
      </c>
      <c r="H50" s="15" t="s">
        <v>665</v>
      </c>
      <c r="J50" s="15" t="s">
        <v>151</v>
      </c>
      <c r="K50" s="15" t="s">
        <v>173</v>
      </c>
      <c r="L50" s="15" t="s">
        <v>117</v>
      </c>
      <c r="T50" s="15">
        <v>4.0</v>
      </c>
      <c r="W50" s="15" t="s">
        <v>143</v>
      </c>
      <c r="X50" s="15">
        <v>4.0</v>
      </c>
      <c r="Y50" s="15" t="s">
        <v>669</v>
      </c>
      <c r="AB50" s="15" t="s">
        <v>132</v>
      </c>
    </row>
    <row r="51" ht="22.5" customHeight="1">
      <c r="A51" s="14">
        <v>46231.91177685185</v>
      </c>
      <c r="B51" s="15" t="s">
        <v>354</v>
      </c>
      <c r="C51" s="15" t="s">
        <v>579</v>
      </c>
      <c r="D51" s="15" t="s">
        <v>90</v>
      </c>
      <c r="T51" s="15">
        <v>5.0</v>
      </c>
      <c r="W51" s="15" t="s">
        <v>143</v>
      </c>
      <c r="X51" s="15">
        <v>4.0</v>
      </c>
      <c r="AB51" s="15" t="s">
        <v>132</v>
      </c>
    </row>
    <row r="52" ht="22.5" customHeight="1">
      <c r="A52" s="14">
        <v>46231.91225458334</v>
      </c>
      <c r="B52" s="15" t="s">
        <v>354</v>
      </c>
      <c r="C52" s="15" t="s">
        <v>593</v>
      </c>
      <c r="D52" s="15" t="s">
        <v>20</v>
      </c>
      <c r="T52" s="15">
        <v>4.0</v>
      </c>
      <c r="W52" s="15" t="s">
        <v>143</v>
      </c>
      <c r="X52" s="15">
        <v>4.0</v>
      </c>
      <c r="AB52" s="15" t="s">
        <v>132</v>
      </c>
    </row>
    <row r="53" ht="22.5" customHeight="1">
      <c r="A53" s="14">
        <v>46231.93053953703</v>
      </c>
      <c r="B53" s="15" t="s">
        <v>354</v>
      </c>
      <c r="C53" s="15" t="s">
        <v>683</v>
      </c>
      <c r="D53" s="15" t="s">
        <v>90</v>
      </c>
      <c r="H53" s="15" t="s">
        <v>686</v>
      </c>
      <c r="T53" s="15">
        <v>4.0</v>
      </c>
      <c r="W53" s="15" t="s">
        <v>143</v>
      </c>
      <c r="X53" s="15">
        <v>4.0</v>
      </c>
      <c r="AB53" s="15" t="s">
        <v>132</v>
      </c>
    </row>
    <row r="54" ht="22.5" customHeight="1">
      <c r="A54" s="14">
        <v>46231.93520184028</v>
      </c>
      <c r="B54" s="15" t="s">
        <v>354</v>
      </c>
      <c r="C54" s="15" t="s">
        <v>690</v>
      </c>
      <c r="D54" s="15" t="s">
        <v>20</v>
      </c>
      <c r="H54" s="15" t="s">
        <v>693</v>
      </c>
      <c r="T54" s="15">
        <v>4.0</v>
      </c>
      <c r="W54" s="15" t="s">
        <v>143</v>
      </c>
      <c r="X54" s="15">
        <v>4.0</v>
      </c>
      <c r="AB54" s="15" t="s">
        <v>132</v>
      </c>
    </row>
    <row r="55" ht="22.5" customHeight="1">
      <c r="A55" s="14">
        <v>46232.051453321765</v>
      </c>
      <c r="B55" s="15" t="s">
        <v>47</v>
      </c>
      <c r="C55" s="15" t="s">
        <v>698</v>
      </c>
      <c r="D55" s="15" t="s">
        <v>90</v>
      </c>
      <c r="H55" s="15" t="s">
        <v>701</v>
      </c>
      <c r="J55" s="15" t="s">
        <v>171</v>
      </c>
      <c r="K55" s="15" t="s">
        <v>703</v>
      </c>
      <c r="L55" s="15" t="s">
        <v>117</v>
      </c>
      <c r="T55" s="15">
        <v>3.0</v>
      </c>
      <c r="W55" s="15" t="s">
        <v>260</v>
      </c>
      <c r="X55" s="15">
        <v>4.0</v>
      </c>
      <c r="Y55" s="15" t="s">
        <v>707</v>
      </c>
      <c r="AB55" s="15" t="s">
        <v>132</v>
      </c>
    </row>
    <row r="56" ht="22.5" customHeight="1">
      <c r="A56" s="14">
        <v>46232.12684612269</v>
      </c>
      <c r="B56" s="15" t="s">
        <v>609</v>
      </c>
      <c r="C56" s="15" t="s">
        <v>710</v>
      </c>
      <c r="D56" s="15" t="s">
        <v>90</v>
      </c>
      <c r="H56" s="15" t="s">
        <v>712</v>
      </c>
      <c r="K56" s="15" t="s">
        <v>713</v>
      </c>
      <c r="L56" s="15" t="s">
        <v>283</v>
      </c>
      <c r="T56" s="15">
        <v>5.0</v>
      </c>
      <c r="W56" s="15" t="s">
        <v>143</v>
      </c>
      <c r="X56" s="15">
        <v>5.0</v>
      </c>
      <c r="AB56" s="15" t="s">
        <v>132</v>
      </c>
    </row>
    <row r="57" ht="22.5" customHeight="1">
      <c r="A57" s="14">
        <v>46232.1292516088</v>
      </c>
      <c r="B57" s="15" t="s">
        <v>609</v>
      </c>
      <c r="C57" s="15" t="s">
        <v>719</v>
      </c>
      <c r="D57" s="15" t="s">
        <v>20</v>
      </c>
      <c r="H57" s="15" t="s">
        <v>721</v>
      </c>
      <c r="T57" s="15">
        <v>3.0</v>
      </c>
      <c r="W57" s="15" t="s">
        <v>723</v>
      </c>
      <c r="X57" s="15">
        <v>5.0</v>
      </c>
      <c r="Y57" s="15" t="s">
        <v>724</v>
      </c>
      <c r="AB57" s="15" t="s">
        <v>132</v>
      </c>
    </row>
    <row r="58" ht="22.5" customHeight="1">
      <c r="A58" s="14">
        <v>46232.427636990746</v>
      </c>
      <c r="B58" s="15" t="s">
        <v>725</v>
      </c>
      <c r="C58" s="15" t="s">
        <v>726</v>
      </c>
      <c r="D58" s="15" t="s">
        <v>90</v>
      </c>
      <c r="H58" s="15" t="s">
        <v>727</v>
      </c>
      <c r="T58" s="15">
        <v>5.0</v>
      </c>
      <c r="W58" s="15" t="s">
        <v>143</v>
      </c>
      <c r="X58" s="15">
        <v>5.0</v>
      </c>
      <c r="AB58" s="15" t="s">
        <v>132</v>
      </c>
    </row>
    <row r="59" ht="22.5" customHeight="1">
      <c r="A59" s="14">
        <v>46232.429242592596</v>
      </c>
      <c r="B59" s="15" t="s">
        <v>725</v>
      </c>
      <c r="C59" s="15" t="s">
        <v>728</v>
      </c>
      <c r="D59" s="15" t="s">
        <v>20</v>
      </c>
      <c r="H59" s="15" t="s">
        <v>729</v>
      </c>
      <c r="T59" s="15">
        <v>5.0</v>
      </c>
      <c r="W59" s="15" t="s">
        <v>143</v>
      </c>
      <c r="X59" s="15">
        <v>5.0</v>
      </c>
      <c r="AB59" s="15" t="s">
        <v>132</v>
      </c>
    </row>
    <row r="60" ht="22.5" customHeight="1">
      <c r="A60" s="14">
        <v>46232.44768304398</v>
      </c>
      <c r="B60" s="15" t="s">
        <v>564</v>
      </c>
      <c r="C60" s="15" t="s">
        <v>730</v>
      </c>
      <c r="D60" s="15" t="s">
        <v>90</v>
      </c>
      <c r="H60" s="15" t="s">
        <v>731</v>
      </c>
      <c r="T60" s="15">
        <v>5.0</v>
      </c>
      <c r="W60" s="15" t="s">
        <v>143</v>
      </c>
      <c r="X60" s="15">
        <v>5.0</v>
      </c>
      <c r="AB60" s="15" t="s">
        <v>132</v>
      </c>
    </row>
    <row r="61" ht="22.5" customHeight="1">
      <c r="A61" s="14">
        <v>46232.448147511575</v>
      </c>
      <c r="B61" s="15" t="s">
        <v>564</v>
      </c>
      <c r="C61" s="15" t="s">
        <v>732</v>
      </c>
      <c r="D61" s="15" t="s">
        <v>20</v>
      </c>
      <c r="H61" s="15" t="s">
        <v>733</v>
      </c>
      <c r="T61" s="15">
        <v>5.0</v>
      </c>
      <c r="W61" s="15" t="s">
        <v>143</v>
      </c>
      <c r="X61" s="15">
        <v>5.0</v>
      </c>
      <c r="AB61" s="15" t="s">
        <v>132</v>
      </c>
    </row>
    <row r="62" ht="22.5" customHeight="1">
      <c r="A62" s="14">
        <v>46232.52033846064</v>
      </c>
      <c r="B62" s="15" t="s">
        <v>734</v>
      </c>
      <c r="C62" s="15" t="s">
        <v>650</v>
      </c>
      <c r="D62" s="15" t="s">
        <v>90</v>
      </c>
      <c r="H62" s="15" t="s">
        <v>735</v>
      </c>
      <c r="T62" s="15">
        <v>3.0</v>
      </c>
      <c r="X62" s="15">
        <v>3.0</v>
      </c>
      <c r="AB62" s="15" t="s">
        <v>132</v>
      </c>
    </row>
    <row r="63" ht="22.5" customHeight="1">
      <c r="A63" s="14">
        <v>46232.58273412037</v>
      </c>
      <c r="B63" s="15" t="s">
        <v>736</v>
      </c>
      <c r="C63" s="15" t="s">
        <v>737</v>
      </c>
      <c r="D63" s="15" t="s">
        <v>90</v>
      </c>
      <c r="H63" s="15" t="s">
        <v>741</v>
      </c>
      <c r="T63" s="15">
        <v>4.0</v>
      </c>
      <c r="W63" s="15" t="s">
        <v>143</v>
      </c>
      <c r="X63" s="15">
        <v>4.0</v>
      </c>
      <c r="AB63" s="15" t="s">
        <v>132</v>
      </c>
    </row>
    <row r="64" ht="22.5" customHeight="1">
      <c r="A64" s="14">
        <v>46232.57902006945</v>
      </c>
      <c r="B64" s="15" t="s">
        <v>746</v>
      </c>
      <c r="C64" s="15" t="s">
        <v>747</v>
      </c>
      <c r="D64" s="15" t="s">
        <v>90</v>
      </c>
      <c r="H64" s="15" t="s">
        <v>751</v>
      </c>
      <c r="T64" s="15">
        <v>5.0</v>
      </c>
      <c r="W64" s="15" t="s">
        <v>143</v>
      </c>
      <c r="X64" s="15">
        <v>5.0</v>
      </c>
      <c r="Y64" s="15" t="s">
        <v>755</v>
      </c>
      <c r="AB64" s="15" t="s">
        <v>132</v>
      </c>
    </row>
    <row r="65" ht="22.5" customHeight="1">
      <c r="A65" s="14">
        <v>46232.74793488426</v>
      </c>
      <c r="B65" s="15" t="s">
        <v>757</v>
      </c>
      <c r="C65" s="15" t="s">
        <v>710</v>
      </c>
      <c r="D65" s="15" t="s">
        <v>90</v>
      </c>
      <c r="H65" s="15" t="s">
        <v>760</v>
      </c>
      <c r="T65" s="15">
        <v>5.0</v>
      </c>
      <c r="W65" s="15" t="s">
        <v>143</v>
      </c>
      <c r="X65" s="15">
        <v>5.0</v>
      </c>
      <c r="AB65" s="15" t="s">
        <v>132</v>
      </c>
    </row>
    <row r="66" ht="22.5" customHeight="1">
      <c r="A66" s="14">
        <v>46232.74878505787</v>
      </c>
      <c r="B66" s="15" t="s">
        <v>757</v>
      </c>
      <c r="C66" s="15" t="s">
        <v>719</v>
      </c>
      <c r="D66" s="15" t="s">
        <v>20</v>
      </c>
      <c r="H66" s="15" t="s">
        <v>766</v>
      </c>
      <c r="T66" s="15">
        <v>5.0</v>
      </c>
      <c r="W66" s="15" t="s">
        <v>143</v>
      </c>
      <c r="X66" s="15">
        <v>5.0</v>
      </c>
      <c r="AB66" s="15" t="s">
        <v>132</v>
      </c>
    </row>
    <row r="67" ht="22.5" customHeight="1">
      <c r="A67" s="14">
        <v>46232.75171350694</v>
      </c>
      <c r="B67" s="15" t="s">
        <v>89</v>
      </c>
      <c r="C67" s="15" t="s">
        <v>650</v>
      </c>
      <c r="D67" s="15" t="s">
        <v>20</v>
      </c>
      <c r="H67" s="15" t="s">
        <v>773</v>
      </c>
      <c r="J67" s="15" t="s">
        <v>171</v>
      </c>
      <c r="K67" s="15" t="s">
        <v>775</v>
      </c>
      <c r="L67" s="15" t="s">
        <v>117</v>
      </c>
      <c r="T67" s="15">
        <v>5.0</v>
      </c>
      <c r="W67" s="15" t="s">
        <v>143</v>
      </c>
      <c r="X67" s="15">
        <v>5.0</v>
      </c>
      <c r="Y67" s="15" t="s">
        <v>778</v>
      </c>
      <c r="AB67" s="15" t="s">
        <v>132</v>
      </c>
    </row>
    <row r="68" ht="22.5" customHeight="1">
      <c r="A68" s="14">
        <v>46232.75504798611</v>
      </c>
      <c r="B68" s="15" t="s">
        <v>736</v>
      </c>
      <c r="C68" s="15" t="s">
        <v>781</v>
      </c>
      <c r="D68" s="15" t="s">
        <v>20</v>
      </c>
      <c r="H68" s="15" t="s">
        <v>784</v>
      </c>
      <c r="T68" s="15">
        <v>4.0</v>
      </c>
      <c r="W68" s="15" t="s">
        <v>143</v>
      </c>
      <c r="X68" s="15">
        <v>4.0</v>
      </c>
      <c r="AB68" s="15" t="s">
        <v>132</v>
      </c>
    </row>
    <row r="69" ht="22.5" customHeight="1">
      <c r="A69" s="14">
        <v>46232.75776947917</v>
      </c>
      <c r="B69" s="15" t="s">
        <v>746</v>
      </c>
      <c r="C69" s="15" t="s">
        <v>789</v>
      </c>
      <c r="D69" s="15" t="s">
        <v>20</v>
      </c>
      <c r="H69" s="15" t="s">
        <v>791</v>
      </c>
      <c r="T69" s="15">
        <v>5.0</v>
      </c>
      <c r="W69" s="15" t="s">
        <v>143</v>
      </c>
      <c r="X69" s="15">
        <v>5.0</v>
      </c>
      <c r="AB69" s="15" t="s">
        <v>132</v>
      </c>
    </row>
    <row r="70" ht="22.5" customHeight="1">
      <c r="A70" s="14">
        <v>46232.78190321759</v>
      </c>
      <c r="B70" s="15" t="s">
        <v>119</v>
      </c>
      <c r="C70" s="15" t="s">
        <v>796</v>
      </c>
      <c r="D70" s="15" t="s">
        <v>90</v>
      </c>
      <c r="H70" s="15" t="s">
        <v>798</v>
      </c>
      <c r="J70" s="15" t="s">
        <v>171</v>
      </c>
      <c r="K70" s="15" t="s">
        <v>281</v>
      </c>
      <c r="L70" s="15" t="s">
        <v>283</v>
      </c>
      <c r="T70" s="15">
        <v>5.0</v>
      </c>
      <c r="W70" s="15" t="s">
        <v>143</v>
      </c>
      <c r="X70" s="15">
        <v>5.0</v>
      </c>
      <c r="Y70" s="15" t="s">
        <v>803</v>
      </c>
      <c r="AB70" s="15" t="s">
        <v>132</v>
      </c>
    </row>
    <row r="71" ht="22.5" customHeight="1">
      <c r="A71" s="14">
        <v>46232.788697048614</v>
      </c>
      <c r="B71" s="15" t="s">
        <v>119</v>
      </c>
      <c r="C71" s="15" t="s">
        <v>806</v>
      </c>
      <c r="D71" s="15" t="s">
        <v>20</v>
      </c>
      <c r="H71" s="15" t="s">
        <v>810</v>
      </c>
      <c r="J71" s="15" t="s">
        <v>171</v>
      </c>
      <c r="K71" s="15" t="s">
        <v>812</v>
      </c>
      <c r="L71" s="15" t="s">
        <v>117</v>
      </c>
      <c r="T71" s="15">
        <v>5.0</v>
      </c>
      <c r="W71" s="15" t="s">
        <v>143</v>
      </c>
      <c r="X71" s="15">
        <v>5.0</v>
      </c>
      <c r="Y71" s="15" t="s">
        <v>803</v>
      </c>
      <c r="AB71" s="15" t="s">
        <v>132</v>
      </c>
    </row>
    <row r="72" ht="22.5" customHeight="1">
      <c r="A72" s="14">
        <v>46232.82698557871</v>
      </c>
      <c r="B72" s="15" t="s">
        <v>29</v>
      </c>
      <c r="C72" s="15" t="s">
        <v>817</v>
      </c>
      <c r="D72" s="15" t="s">
        <v>20</v>
      </c>
      <c r="H72" s="15" t="s">
        <v>820</v>
      </c>
      <c r="K72" s="15" t="s">
        <v>821</v>
      </c>
      <c r="L72" s="15" t="s">
        <v>283</v>
      </c>
      <c r="T72" s="15">
        <v>5.0</v>
      </c>
      <c r="W72" s="15" t="s">
        <v>143</v>
      </c>
      <c r="X72" s="15">
        <v>5.0</v>
      </c>
      <c r="AB72" s="15" t="s">
        <v>132</v>
      </c>
    </row>
    <row r="73" ht="22.5" customHeight="1">
      <c r="A73" s="14">
        <v>46232.87067092593</v>
      </c>
      <c r="B73" s="15" t="s">
        <v>826</v>
      </c>
      <c r="C73" s="15" t="s">
        <v>828</v>
      </c>
      <c r="D73" s="15" t="s">
        <v>90</v>
      </c>
      <c r="H73" s="15" t="s">
        <v>830</v>
      </c>
      <c r="T73" s="15">
        <v>4.0</v>
      </c>
      <c r="W73" s="15" t="s">
        <v>143</v>
      </c>
      <c r="X73" s="15">
        <v>3.0</v>
      </c>
      <c r="AB73" s="15" t="s">
        <v>132</v>
      </c>
    </row>
    <row r="74" ht="22.5" customHeight="1">
      <c r="A74" s="14">
        <v>46232.87254715278</v>
      </c>
      <c r="B74" s="15" t="s">
        <v>826</v>
      </c>
      <c r="C74" s="15" t="s">
        <v>833</v>
      </c>
      <c r="D74" s="15" t="s">
        <v>20</v>
      </c>
      <c r="H74" s="15" t="s">
        <v>834</v>
      </c>
      <c r="T74" s="15">
        <v>3.0</v>
      </c>
      <c r="W74" s="15" t="s">
        <v>143</v>
      </c>
      <c r="X74" s="15">
        <v>3.0</v>
      </c>
      <c r="AB74" s="15" t="s">
        <v>132</v>
      </c>
    </row>
    <row r="75" ht="22.5" customHeight="1">
      <c r="A75" s="14">
        <v>46232.9171375463</v>
      </c>
      <c r="B75" s="15" t="s">
        <v>29</v>
      </c>
      <c r="C75" s="15" t="s">
        <v>835</v>
      </c>
      <c r="D75" s="15" t="s">
        <v>90</v>
      </c>
      <c r="H75" s="15" t="s">
        <v>836</v>
      </c>
      <c r="L75" s="15" t="s">
        <v>283</v>
      </c>
      <c r="T75" s="15">
        <v>4.0</v>
      </c>
      <c r="W75" s="15" t="s">
        <v>260</v>
      </c>
      <c r="X75" s="15">
        <v>4.0</v>
      </c>
      <c r="Y75" s="15" t="s">
        <v>837</v>
      </c>
      <c r="AB75" s="15" t="s">
        <v>132</v>
      </c>
    </row>
    <row r="76" ht="22.5" customHeight="1">
      <c r="A76" s="14">
        <v>46232.92673994213</v>
      </c>
      <c r="B76" s="15" t="s">
        <v>354</v>
      </c>
      <c r="C76" s="15" t="s">
        <v>737</v>
      </c>
      <c r="D76" s="15" t="s">
        <v>90</v>
      </c>
      <c r="H76" s="15" t="s">
        <v>838</v>
      </c>
      <c r="T76" s="15">
        <v>5.0</v>
      </c>
      <c r="W76" s="15" t="s">
        <v>143</v>
      </c>
      <c r="X76" s="15">
        <v>4.0</v>
      </c>
      <c r="AB76" s="15" t="s">
        <v>132</v>
      </c>
    </row>
    <row r="77" ht="22.5" customHeight="1">
      <c r="A77" s="14">
        <v>46232.93063944444</v>
      </c>
      <c r="B77" s="15" t="s">
        <v>354</v>
      </c>
      <c r="C77" s="15" t="s">
        <v>781</v>
      </c>
      <c r="D77" s="15" t="s">
        <v>20</v>
      </c>
      <c r="H77" s="15" t="s">
        <v>839</v>
      </c>
      <c r="T77" s="15">
        <v>5.0</v>
      </c>
      <c r="W77" s="15" t="s">
        <v>143</v>
      </c>
      <c r="X77" s="15">
        <v>4.0</v>
      </c>
      <c r="AB77" s="15" t="s">
        <v>132</v>
      </c>
    </row>
    <row r="78" ht="22.5" customHeight="1">
      <c r="A78" s="14">
        <v>46233.09189466435</v>
      </c>
      <c r="B78" s="15" t="s">
        <v>609</v>
      </c>
      <c r="C78" s="15" t="s">
        <v>840</v>
      </c>
      <c r="D78" s="15" t="s">
        <v>90</v>
      </c>
      <c r="H78" s="15" t="s">
        <v>841</v>
      </c>
      <c r="T78" s="15">
        <v>4.0</v>
      </c>
      <c r="W78" s="15" t="s">
        <v>143</v>
      </c>
      <c r="X78" s="15">
        <v>5.0</v>
      </c>
      <c r="AB78" s="15" t="s">
        <v>132</v>
      </c>
    </row>
    <row r="79" ht="22.5" customHeight="1">
      <c r="A79" s="14">
        <v>46233.095967430556</v>
      </c>
      <c r="B79" s="15" t="s">
        <v>609</v>
      </c>
      <c r="C79" s="15" t="s">
        <v>842</v>
      </c>
      <c r="D79" s="15" t="s">
        <v>20</v>
      </c>
      <c r="H79" s="15" t="s">
        <v>843</v>
      </c>
      <c r="T79" s="15">
        <v>2.0</v>
      </c>
      <c r="W79" s="15" t="s">
        <v>723</v>
      </c>
      <c r="X79" s="15">
        <v>3.0</v>
      </c>
      <c r="Y79" s="15" t="s">
        <v>844</v>
      </c>
      <c r="AB79" s="15" t="s">
        <v>132</v>
      </c>
    </row>
    <row r="80" ht="22.5" customHeight="1">
      <c r="A80" s="14">
        <v>46233.58918201389</v>
      </c>
      <c r="B80" s="15" t="s">
        <v>631</v>
      </c>
      <c r="C80" s="15" t="s">
        <v>845</v>
      </c>
      <c r="D80" s="15" t="s">
        <v>90</v>
      </c>
      <c r="H80" s="15" t="s">
        <v>846</v>
      </c>
      <c r="L80" s="15" t="s">
        <v>283</v>
      </c>
      <c r="T80" s="15">
        <v>4.0</v>
      </c>
      <c r="W80" s="15" t="s">
        <v>143</v>
      </c>
      <c r="X80" s="15">
        <v>4.0</v>
      </c>
      <c r="Y80" s="15" t="s">
        <v>847</v>
      </c>
      <c r="AB80" s="15" t="s">
        <v>132</v>
      </c>
    </row>
    <row r="81" ht="22.5" customHeight="1">
      <c r="A81" s="14">
        <v>46233.77317652778</v>
      </c>
      <c r="B81" s="15" t="s">
        <v>848</v>
      </c>
      <c r="C81" s="15" t="s">
        <v>849</v>
      </c>
      <c r="D81" s="15" t="s">
        <v>90</v>
      </c>
      <c r="H81" s="15" t="s">
        <v>850</v>
      </c>
      <c r="T81" s="15">
        <v>2.0</v>
      </c>
      <c r="W81" s="15" t="s">
        <v>143</v>
      </c>
      <c r="X81" s="15">
        <v>4.0</v>
      </c>
      <c r="AB81" s="15" t="s">
        <v>132</v>
      </c>
    </row>
    <row r="82" ht="22.5" customHeight="1">
      <c r="A82" s="14">
        <v>46233.77745083334</v>
      </c>
      <c r="B82" s="15" t="s">
        <v>848</v>
      </c>
      <c r="C82" s="15" t="s">
        <v>851</v>
      </c>
      <c r="D82" s="15" t="s">
        <v>20</v>
      </c>
      <c r="H82" s="15" t="s">
        <v>852</v>
      </c>
      <c r="T82" s="15">
        <v>2.0</v>
      </c>
      <c r="W82" s="15" t="s">
        <v>143</v>
      </c>
      <c r="X82" s="15">
        <v>4.0</v>
      </c>
      <c r="AB82" s="15" t="s">
        <v>132</v>
      </c>
    </row>
    <row r="83" ht="22.5" customHeight="1">
      <c r="A83" s="14">
        <v>46233.89866121528</v>
      </c>
      <c r="B83" s="15" t="s">
        <v>354</v>
      </c>
      <c r="C83" s="15" t="s">
        <v>853</v>
      </c>
      <c r="D83" s="15" t="s">
        <v>90</v>
      </c>
      <c r="T83" s="15">
        <v>4.0</v>
      </c>
      <c r="W83" s="15" t="s">
        <v>143</v>
      </c>
      <c r="X83" s="15">
        <v>4.0</v>
      </c>
      <c r="AB83" s="15" t="s">
        <v>132</v>
      </c>
    </row>
    <row r="84" ht="22.5" customHeight="1">
      <c r="A84" s="14">
        <v>46233.89894987269</v>
      </c>
      <c r="B84" s="15" t="s">
        <v>354</v>
      </c>
      <c r="C84" s="15" t="s">
        <v>854</v>
      </c>
      <c r="D84" s="15" t="s">
        <v>20</v>
      </c>
      <c r="T84" s="15">
        <v>4.0</v>
      </c>
      <c r="W84" s="15" t="s">
        <v>143</v>
      </c>
      <c r="X84" s="15">
        <v>4.0</v>
      </c>
      <c r="AB84" s="15" t="s">
        <v>132</v>
      </c>
    </row>
    <row r="85" ht="22.5" customHeight="1">
      <c r="A85" s="14">
        <v>46233.985237754634</v>
      </c>
      <c r="B85" s="15" t="s">
        <v>661</v>
      </c>
      <c r="C85" s="15" t="s">
        <v>855</v>
      </c>
      <c r="D85" s="15" t="s">
        <v>90</v>
      </c>
      <c r="J85" s="15" t="s">
        <v>171</v>
      </c>
      <c r="K85" s="15" t="s">
        <v>856</v>
      </c>
      <c r="L85" s="15" t="s">
        <v>283</v>
      </c>
      <c r="T85" s="15">
        <v>5.0</v>
      </c>
      <c r="W85" s="15" t="s">
        <v>260</v>
      </c>
      <c r="X85" s="15">
        <v>4.0</v>
      </c>
      <c r="Y85" s="15" t="s">
        <v>857</v>
      </c>
      <c r="AB85" s="15" t="s">
        <v>132</v>
      </c>
    </row>
    <row r="86" ht="22.5" customHeight="1">
      <c r="A86" s="14">
        <v>46233.98586719907</v>
      </c>
      <c r="B86" s="15" t="s">
        <v>661</v>
      </c>
      <c r="C86" s="15" t="s">
        <v>858</v>
      </c>
      <c r="D86" s="15" t="s">
        <v>20</v>
      </c>
      <c r="J86" s="15" t="s">
        <v>171</v>
      </c>
      <c r="K86" s="15" t="s">
        <v>859</v>
      </c>
      <c r="L86" s="15" t="s">
        <v>283</v>
      </c>
      <c r="T86" s="15">
        <v>5.0</v>
      </c>
      <c r="W86" s="15" t="s">
        <v>260</v>
      </c>
      <c r="X86" s="15">
        <v>4.0</v>
      </c>
      <c r="Y86" s="15" t="s">
        <v>860</v>
      </c>
      <c r="AB86" s="15" t="s">
        <v>132</v>
      </c>
    </row>
    <row r="87" ht="22.5" customHeight="1">
      <c r="A87" s="14">
        <v>46234.05702475694</v>
      </c>
      <c r="B87" s="15" t="s">
        <v>609</v>
      </c>
      <c r="C87" s="15" t="s">
        <v>861</v>
      </c>
      <c r="D87" s="15" t="s">
        <v>90</v>
      </c>
      <c r="H87" s="15" t="s">
        <v>862</v>
      </c>
      <c r="T87" s="15">
        <v>5.0</v>
      </c>
      <c r="W87" s="15" t="s">
        <v>143</v>
      </c>
      <c r="X87" s="15">
        <v>5.0</v>
      </c>
      <c r="AB87" s="15" t="s">
        <v>132</v>
      </c>
    </row>
    <row r="88" ht="22.5" customHeight="1">
      <c r="A88" s="14">
        <v>46234.05830418981</v>
      </c>
      <c r="B88" s="15" t="s">
        <v>609</v>
      </c>
      <c r="C88" s="15" t="s">
        <v>863</v>
      </c>
      <c r="D88" s="15" t="s">
        <v>20</v>
      </c>
      <c r="H88" s="15" t="s">
        <v>864</v>
      </c>
      <c r="T88" s="15">
        <v>3.0</v>
      </c>
      <c r="W88" s="15" t="s">
        <v>143</v>
      </c>
      <c r="X88" s="15">
        <v>5.0</v>
      </c>
      <c r="AB88" s="15" t="s">
        <v>132</v>
      </c>
    </row>
    <row r="89" ht="22.5" customHeight="1">
      <c r="A89" s="14">
        <v>46234.457006111115</v>
      </c>
      <c r="B89" s="15" t="s">
        <v>865</v>
      </c>
      <c r="C89" s="15" t="s">
        <v>853</v>
      </c>
      <c r="D89" s="15" t="s">
        <v>90</v>
      </c>
      <c r="T89" s="15">
        <v>3.0</v>
      </c>
      <c r="W89" s="15" t="s">
        <v>143</v>
      </c>
      <c r="X89" s="15">
        <v>4.0</v>
      </c>
      <c r="AB89" s="15" t="s">
        <v>132</v>
      </c>
    </row>
    <row r="90" ht="22.5" customHeight="1">
      <c r="A90" s="14">
        <v>46234.45759480324</v>
      </c>
      <c r="B90" s="15" t="s">
        <v>865</v>
      </c>
      <c r="C90" s="15" t="s">
        <v>854</v>
      </c>
      <c r="D90" s="15" t="s">
        <v>20</v>
      </c>
      <c r="T90" s="15">
        <v>4.0</v>
      </c>
      <c r="X90" s="15">
        <v>5.0</v>
      </c>
      <c r="AB90" s="15" t="s">
        <v>132</v>
      </c>
    </row>
    <row r="91" ht="22.5" customHeight="1">
      <c r="A91" s="14">
        <v>46234.57006899305</v>
      </c>
      <c r="B91" s="15" t="s">
        <v>866</v>
      </c>
      <c r="C91" s="15" t="s">
        <v>867</v>
      </c>
      <c r="D91" s="15" t="s">
        <v>90</v>
      </c>
      <c r="H91" s="15" t="s">
        <v>868</v>
      </c>
      <c r="T91" s="15">
        <v>3.0</v>
      </c>
      <c r="W91" s="15" t="s">
        <v>143</v>
      </c>
      <c r="X91" s="15">
        <v>4.0</v>
      </c>
      <c r="AB91" s="15" t="s">
        <v>132</v>
      </c>
    </row>
    <row r="92" ht="22.5" customHeight="1">
      <c r="A92" s="14">
        <v>46234.59313015046</v>
      </c>
      <c r="B92" s="15" t="s">
        <v>848</v>
      </c>
      <c r="C92" s="15" t="s">
        <v>869</v>
      </c>
      <c r="D92" s="15" t="s">
        <v>90</v>
      </c>
      <c r="T92" s="15">
        <v>5.0</v>
      </c>
      <c r="W92" s="15" t="s">
        <v>143</v>
      </c>
      <c r="X92" s="15">
        <v>5.0</v>
      </c>
      <c r="AB92" s="15" t="s">
        <v>132</v>
      </c>
    </row>
    <row r="93" ht="22.5" customHeight="1">
      <c r="A93" s="14">
        <v>46234.7241649537</v>
      </c>
      <c r="B93" s="15" t="s">
        <v>848</v>
      </c>
      <c r="C93" s="15" t="s">
        <v>870</v>
      </c>
      <c r="D93" s="15" t="s">
        <v>20</v>
      </c>
      <c r="T93" s="15">
        <v>5.0</v>
      </c>
      <c r="W93" s="15" t="s">
        <v>143</v>
      </c>
      <c r="X93" s="15">
        <v>5.0</v>
      </c>
      <c r="AB93" s="15" t="s">
        <v>132</v>
      </c>
    </row>
    <row r="94" ht="22.5" customHeight="1">
      <c r="A94" s="14">
        <v>46234.98796103009</v>
      </c>
      <c r="B94" s="15" t="s">
        <v>598</v>
      </c>
      <c r="C94" s="15" t="s">
        <v>871</v>
      </c>
      <c r="D94" s="15" t="s">
        <v>90</v>
      </c>
      <c r="H94" s="15" t="s">
        <v>872</v>
      </c>
      <c r="J94" s="15" t="s">
        <v>316</v>
      </c>
      <c r="K94" s="15" t="s">
        <v>873</v>
      </c>
      <c r="L94" s="15" t="s">
        <v>283</v>
      </c>
      <c r="T94" s="15">
        <v>5.0</v>
      </c>
      <c r="W94" s="15" t="s">
        <v>143</v>
      </c>
      <c r="X94" s="15">
        <v>5.0</v>
      </c>
      <c r="AB94" s="15" t="s">
        <v>132</v>
      </c>
    </row>
    <row r="95" ht="22.5" customHeight="1">
      <c r="A95" s="14">
        <v>46235.38468328703</v>
      </c>
      <c r="B95" s="15" t="s">
        <v>598</v>
      </c>
      <c r="C95" s="15" t="s">
        <v>871</v>
      </c>
      <c r="D95" s="15" t="s">
        <v>90</v>
      </c>
      <c r="H95" s="15" t="s">
        <v>874</v>
      </c>
      <c r="J95" s="15" t="s">
        <v>316</v>
      </c>
      <c r="K95" s="15" t="s">
        <v>173</v>
      </c>
      <c r="L95" s="15" t="s">
        <v>283</v>
      </c>
      <c r="T95" s="15">
        <v>5.0</v>
      </c>
      <c r="W95" s="15" t="s">
        <v>143</v>
      </c>
      <c r="X95" s="15">
        <v>5.0</v>
      </c>
      <c r="AB95" s="15" t="s">
        <v>132</v>
      </c>
    </row>
    <row r="96" ht="22.5" customHeight="1">
      <c r="A96" s="14">
        <v>46235.38919768519</v>
      </c>
      <c r="B96" s="15" t="s">
        <v>875</v>
      </c>
      <c r="C96" s="15" t="s">
        <v>876</v>
      </c>
      <c r="D96" s="15" t="s">
        <v>20</v>
      </c>
      <c r="H96" s="15" t="s">
        <v>877</v>
      </c>
      <c r="J96" s="15" t="s">
        <v>316</v>
      </c>
      <c r="K96" s="15" t="s">
        <v>173</v>
      </c>
      <c r="L96" s="15" t="s">
        <v>283</v>
      </c>
      <c r="T96" s="15">
        <v>5.0</v>
      </c>
      <c r="W96" s="15" t="s">
        <v>143</v>
      </c>
      <c r="X96" s="15">
        <v>5.0</v>
      </c>
      <c r="AB96" s="15" t="s">
        <v>132</v>
      </c>
    </row>
    <row r="97" ht="22.5" customHeight="1">
      <c r="A97" s="14">
        <v>46235.39201542824</v>
      </c>
      <c r="B97" s="15" t="s">
        <v>354</v>
      </c>
      <c r="C97" s="15" t="s">
        <v>878</v>
      </c>
      <c r="D97" s="15" t="s">
        <v>90</v>
      </c>
      <c r="T97" s="15">
        <v>4.0</v>
      </c>
      <c r="W97" s="15" t="s">
        <v>143</v>
      </c>
      <c r="X97" s="15">
        <v>4.0</v>
      </c>
      <c r="AB97" s="15" t="s">
        <v>132</v>
      </c>
    </row>
    <row r="98" ht="22.5" customHeight="1">
      <c r="A98" s="14">
        <v>46235.39225887731</v>
      </c>
      <c r="B98" s="15" t="s">
        <v>354</v>
      </c>
      <c r="C98" s="15" t="s">
        <v>879</v>
      </c>
      <c r="D98" s="15" t="s">
        <v>20</v>
      </c>
      <c r="T98" s="15">
        <v>4.0</v>
      </c>
      <c r="W98" s="15" t="s">
        <v>143</v>
      </c>
      <c r="X98" s="15">
        <v>4.0</v>
      </c>
      <c r="AB98" s="15" t="s">
        <v>132</v>
      </c>
    </row>
    <row r="99" ht="22.5" customHeight="1">
      <c r="A99" s="14">
        <v>46235.65815042824</v>
      </c>
      <c r="B99" s="15" t="s">
        <v>880</v>
      </c>
      <c r="C99" s="15" t="s">
        <v>881</v>
      </c>
      <c r="D99" s="15" t="s">
        <v>20</v>
      </c>
      <c r="H99" s="15" t="s">
        <v>882</v>
      </c>
      <c r="J99" s="15" t="s">
        <v>171</v>
      </c>
      <c r="K99" s="15" t="s">
        <v>345</v>
      </c>
      <c r="L99" s="15" t="s">
        <v>117</v>
      </c>
      <c r="T99" s="15">
        <v>4.0</v>
      </c>
      <c r="X99" s="15">
        <v>5.0</v>
      </c>
      <c r="Y99" s="15" t="s">
        <v>883</v>
      </c>
      <c r="AB99" s="15" t="s">
        <v>132</v>
      </c>
    </row>
    <row r="100" ht="22.5" customHeight="1">
      <c r="A100" s="14">
        <v>46237.60165833333</v>
      </c>
      <c r="B100" s="15" t="s">
        <v>884</v>
      </c>
      <c r="C100" s="15" t="s">
        <v>885</v>
      </c>
      <c r="D100" s="15" t="s">
        <v>90</v>
      </c>
      <c r="H100" s="15" t="s">
        <v>886</v>
      </c>
      <c r="T100" s="15">
        <v>3.0</v>
      </c>
      <c r="X100" s="15">
        <v>5.0</v>
      </c>
      <c r="AB100" s="15" t="s">
        <v>132</v>
      </c>
    </row>
    <row r="101" ht="22.5" customHeight="1">
      <c r="A101" s="14">
        <v>46237.62189454861</v>
      </c>
      <c r="B101" s="15" t="s">
        <v>277</v>
      </c>
      <c r="C101" s="15" t="s">
        <v>887</v>
      </c>
      <c r="D101" s="15" t="s">
        <v>90</v>
      </c>
      <c r="T101" s="15">
        <v>5.0</v>
      </c>
      <c r="X101" s="15">
        <v>5.0</v>
      </c>
      <c r="AB101" s="15" t="s">
        <v>132</v>
      </c>
    </row>
    <row r="102" ht="22.5" customHeight="1">
      <c r="A102" s="14">
        <v>46237.62497130787</v>
      </c>
      <c r="B102" s="15" t="s">
        <v>29</v>
      </c>
      <c r="C102" s="15" t="s">
        <v>888</v>
      </c>
      <c r="D102" s="15" t="s">
        <v>90</v>
      </c>
      <c r="H102" s="15" t="s">
        <v>889</v>
      </c>
      <c r="T102" s="15">
        <v>4.0</v>
      </c>
      <c r="W102" s="15" t="s">
        <v>143</v>
      </c>
      <c r="X102" s="15">
        <v>4.0</v>
      </c>
      <c r="AB102" s="15" t="s">
        <v>132</v>
      </c>
    </row>
    <row r="103" ht="22.5" customHeight="1">
      <c r="A103" s="14">
        <v>46237.72360113426</v>
      </c>
      <c r="B103" s="15" t="s">
        <v>848</v>
      </c>
      <c r="C103" s="15" t="s">
        <v>890</v>
      </c>
      <c r="D103" s="15" t="s">
        <v>90</v>
      </c>
      <c r="H103" s="15" t="s">
        <v>891</v>
      </c>
      <c r="T103" s="15">
        <v>5.0</v>
      </c>
      <c r="W103" s="15" t="s">
        <v>143</v>
      </c>
      <c r="X103" s="15">
        <v>5.0</v>
      </c>
      <c r="AB103" s="15" t="s">
        <v>132</v>
      </c>
    </row>
    <row r="104" ht="22.5" customHeight="1">
      <c r="A104" s="14">
        <v>46237.728859317125</v>
      </c>
      <c r="B104" s="15" t="s">
        <v>734</v>
      </c>
      <c r="C104" s="15" t="s">
        <v>892</v>
      </c>
      <c r="D104" s="15" t="s">
        <v>20</v>
      </c>
      <c r="T104" s="15">
        <v>3.0</v>
      </c>
      <c r="X104" s="15">
        <v>3.0</v>
      </c>
      <c r="AB104" s="15" t="s">
        <v>132</v>
      </c>
    </row>
    <row r="105" ht="22.5" customHeight="1">
      <c r="A105" s="14">
        <v>46237.73213892361</v>
      </c>
      <c r="B105" s="15" t="s">
        <v>354</v>
      </c>
      <c r="C105" s="15" t="s">
        <v>893</v>
      </c>
      <c r="D105" s="15" t="s">
        <v>20</v>
      </c>
      <c r="H105" s="15" t="s">
        <v>894</v>
      </c>
      <c r="T105" s="15">
        <v>4.0</v>
      </c>
      <c r="W105" s="15" t="s">
        <v>143</v>
      </c>
      <c r="X105" s="15">
        <v>4.0</v>
      </c>
      <c r="AB105" s="15" t="s">
        <v>132</v>
      </c>
    </row>
    <row r="106" ht="22.5" customHeight="1">
      <c r="A106" s="14">
        <v>46237.73376310185</v>
      </c>
      <c r="B106" s="15" t="s">
        <v>507</v>
      </c>
      <c r="C106" s="15" t="s">
        <v>895</v>
      </c>
      <c r="D106" s="15" t="s">
        <v>20</v>
      </c>
      <c r="H106" s="15" t="s">
        <v>896</v>
      </c>
      <c r="T106" s="15">
        <v>4.0</v>
      </c>
      <c r="W106" s="15" t="s">
        <v>143</v>
      </c>
      <c r="X106" s="15">
        <v>4.0</v>
      </c>
      <c r="AB106" s="15" t="s">
        <v>132</v>
      </c>
    </row>
    <row r="107" ht="22.5" customHeight="1">
      <c r="A107" s="14">
        <v>46237.75630709491</v>
      </c>
      <c r="B107" s="15" t="s">
        <v>897</v>
      </c>
      <c r="C107" s="15" t="s">
        <v>898</v>
      </c>
      <c r="D107" s="15" t="s">
        <v>90</v>
      </c>
      <c r="H107" s="15" t="s">
        <v>899</v>
      </c>
      <c r="L107" s="15" t="s">
        <v>283</v>
      </c>
      <c r="T107" s="15">
        <v>5.0</v>
      </c>
      <c r="W107" s="15" t="s">
        <v>143</v>
      </c>
      <c r="X107" s="15">
        <v>5.0</v>
      </c>
      <c r="AB107" s="15" t="s">
        <v>132</v>
      </c>
    </row>
    <row r="108" ht="22.5" customHeight="1">
      <c r="A108" s="14">
        <v>46237.75753540509</v>
      </c>
      <c r="B108" s="15" t="s">
        <v>897</v>
      </c>
      <c r="C108" s="15" t="s">
        <v>900</v>
      </c>
      <c r="D108" s="15" t="s">
        <v>20</v>
      </c>
      <c r="H108" s="15" t="s">
        <v>901</v>
      </c>
      <c r="T108" s="15">
        <v>3.0</v>
      </c>
      <c r="W108" s="15" t="s">
        <v>260</v>
      </c>
      <c r="X108" s="15">
        <v>5.0</v>
      </c>
      <c r="AB108" s="15" t="s">
        <v>132</v>
      </c>
    </row>
    <row r="109" ht="22.5" customHeight="1">
      <c r="A109" s="14">
        <v>46237.82279515047</v>
      </c>
      <c r="B109" s="15" t="s">
        <v>902</v>
      </c>
      <c r="C109" s="15" t="s">
        <v>903</v>
      </c>
      <c r="D109" s="15" t="s">
        <v>20</v>
      </c>
      <c r="H109" s="15" t="s">
        <v>904</v>
      </c>
      <c r="T109" s="15">
        <v>4.0</v>
      </c>
      <c r="W109" s="15" t="s">
        <v>143</v>
      </c>
      <c r="X109" s="15">
        <v>3.0</v>
      </c>
      <c r="Y109" s="15" t="s">
        <v>905</v>
      </c>
      <c r="AB109" s="15" t="s">
        <v>132</v>
      </c>
    </row>
    <row r="110" ht="22.5" customHeight="1">
      <c r="A110" s="14">
        <v>46238.44167810185</v>
      </c>
      <c r="B110" s="15" t="s">
        <v>880</v>
      </c>
      <c r="C110" s="15" t="s">
        <v>906</v>
      </c>
      <c r="D110" s="15" t="s">
        <v>90</v>
      </c>
      <c r="H110" s="15" t="s">
        <v>907</v>
      </c>
      <c r="J110" s="15" t="s">
        <v>171</v>
      </c>
      <c r="K110" s="15" t="s">
        <v>173</v>
      </c>
      <c r="L110" s="15" t="s">
        <v>283</v>
      </c>
      <c r="T110" s="15">
        <v>4.0</v>
      </c>
      <c r="W110" s="15" t="s">
        <v>723</v>
      </c>
      <c r="X110" s="15">
        <v>4.0</v>
      </c>
      <c r="AB110" s="15" t="s">
        <v>132</v>
      </c>
    </row>
    <row r="111" ht="22.5" customHeight="1">
      <c r="A111" s="14">
        <v>46238.56933435185</v>
      </c>
      <c r="B111" s="15" t="s">
        <v>354</v>
      </c>
      <c r="C111" s="15" t="s">
        <v>908</v>
      </c>
      <c r="D111" s="15" t="s">
        <v>90</v>
      </c>
      <c r="H111" s="15" t="s">
        <v>909</v>
      </c>
      <c r="T111" s="15">
        <v>4.0</v>
      </c>
      <c r="W111" s="15" t="s">
        <v>143</v>
      </c>
      <c r="X111" s="15">
        <v>4.0</v>
      </c>
      <c r="AB111" s="15" t="s">
        <v>132</v>
      </c>
    </row>
    <row r="112" ht="22.5" customHeight="1">
      <c r="A112" s="14">
        <v>46238.591737511575</v>
      </c>
      <c r="B112" s="15" t="s">
        <v>598</v>
      </c>
      <c r="C112" s="15" t="s">
        <v>910</v>
      </c>
      <c r="D112" s="15" t="s">
        <v>90</v>
      </c>
      <c r="H112" s="15" t="s">
        <v>911</v>
      </c>
      <c r="L112" s="15" t="s">
        <v>283</v>
      </c>
      <c r="T112" s="15">
        <v>5.0</v>
      </c>
      <c r="W112" s="15" t="s">
        <v>143</v>
      </c>
      <c r="X112" s="15">
        <v>5.0</v>
      </c>
      <c r="Y112" s="15" t="s">
        <v>912</v>
      </c>
      <c r="AB112" s="15" t="s">
        <v>132</v>
      </c>
    </row>
    <row r="113" ht="22.5" customHeight="1">
      <c r="A113" s="14">
        <v>46238.66049175926</v>
      </c>
      <c r="B113" s="15" t="s">
        <v>507</v>
      </c>
      <c r="C113" s="15" t="s">
        <v>913</v>
      </c>
      <c r="D113" s="15" t="s">
        <v>90</v>
      </c>
      <c r="T113" s="15">
        <v>3.0</v>
      </c>
      <c r="W113" s="15" t="s">
        <v>143</v>
      </c>
      <c r="X113" s="15">
        <v>3.0</v>
      </c>
      <c r="AB113" s="15" t="s">
        <v>132</v>
      </c>
    </row>
    <row r="114" ht="22.5" customHeight="1">
      <c r="A114" s="14">
        <v>46238.73266716435</v>
      </c>
      <c r="B114" s="15" t="s">
        <v>880</v>
      </c>
      <c r="C114" s="15" t="s">
        <v>914</v>
      </c>
      <c r="D114" s="15" t="s">
        <v>20</v>
      </c>
      <c r="H114" s="15" t="s">
        <v>915</v>
      </c>
      <c r="J114" s="15" t="s">
        <v>316</v>
      </c>
      <c r="K114" s="15" t="s">
        <v>173</v>
      </c>
      <c r="L114" s="15" t="s">
        <v>283</v>
      </c>
      <c r="T114" s="15">
        <v>5.0</v>
      </c>
      <c r="W114" s="15" t="s">
        <v>723</v>
      </c>
      <c r="X114" s="15">
        <v>4.0</v>
      </c>
      <c r="Y114" s="15" t="s">
        <v>916</v>
      </c>
      <c r="AB114" s="15" t="s">
        <v>132</v>
      </c>
    </row>
    <row r="115" ht="22.5" customHeight="1">
      <c r="A115" s="14">
        <v>46238.900465266204</v>
      </c>
      <c r="B115" s="15" t="s">
        <v>848</v>
      </c>
      <c r="C115" s="15" t="s">
        <v>917</v>
      </c>
      <c r="D115" s="15" t="s">
        <v>20</v>
      </c>
      <c r="H115" s="15" t="s">
        <v>918</v>
      </c>
      <c r="T115" s="15">
        <v>4.0</v>
      </c>
      <c r="W115" s="15" t="s">
        <v>143</v>
      </c>
      <c r="X115" s="15">
        <v>5.0</v>
      </c>
      <c r="AB115" s="15" t="s">
        <v>132</v>
      </c>
    </row>
    <row r="116" ht="22.5" customHeight="1">
      <c r="A116" s="14">
        <v>46239.00160071759</v>
      </c>
      <c r="B116" s="15" t="s">
        <v>598</v>
      </c>
      <c r="C116" s="15" t="s">
        <v>919</v>
      </c>
      <c r="D116" s="15" t="s">
        <v>20</v>
      </c>
      <c r="H116" s="15" t="s">
        <v>920</v>
      </c>
      <c r="J116" s="15" t="s">
        <v>316</v>
      </c>
      <c r="L116" s="15" t="s">
        <v>283</v>
      </c>
      <c r="T116" s="15">
        <v>4.0</v>
      </c>
      <c r="W116" s="15" t="s">
        <v>143</v>
      </c>
      <c r="X116" s="15">
        <v>4.0</v>
      </c>
      <c r="AB116" s="15" t="s">
        <v>132</v>
      </c>
    </row>
    <row r="117" ht="22.5" customHeight="1">
      <c r="A117" s="14">
        <v>46239.53929409722</v>
      </c>
      <c r="B117" s="15" t="s">
        <v>354</v>
      </c>
      <c r="C117" s="15" t="s">
        <v>921</v>
      </c>
      <c r="D117" s="15" t="s">
        <v>90</v>
      </c>
      <c r="H117" s="15" t="s">
        <v>922</v>
      </c>
      <c r="T117" s="15">
        <v>3.0</v>
      </c>
      <c r="W117" s="15" t="s">
        <v>143</v>
      </c>
      <c r="X117" s="15">
        <v>4.0</v>
      </c>
      <c r="AB117" s="15" t="s">
        <v>132</v>
      </c>
    </row>
    <row r="118" ht="22.5" customHeight="1">
      <c r="A118" s="14">
        <v>46239.5418240625</v>
      </c>
      <c r="B118" s="15" t="s">
        <v>923</v>
      </c>
      <c r="C118" s="15" t="s">
        <v>924</v>
      </c>
      <c r="D118" s="15" t="s">
        <v>90</v>
      </c>
      <c r="H118" s="15" t="s">
        <v>925</v>
      </c>
      <c r="T118" s="15">
        <v>5.0</v>
      </c>
      <c r="W118" s="15" t="s">
        <v>143</v>
      </c>
      <c r="X118" s="15">
        <v>5.0</v>
      </c>
      <c r="Y118" s="15" t="s">
        <v>145</v>
      </c>
      <c r="AB118" s="15" t="s">
        <v>132</v>
      </c>
    </row>
    <row r="119" ht="22.5" customHeight="1">
      <c r="A119" s="14">
        <v>46239.55937379629</v>
      </c>
      <c r="B119" s="15" t="s">
        <v>926</v>
      </c>
      <c r="C119" s="15" t="s">
        <v>927</v>
      </c>
      <c r="D119" s="15" t="s">
        <v>90</v>
      </c>
      <c r="T119" s="15">
        <v>5.0</v>
      </c>
      <c r="W119" s="15" t="s">
        <v>143</v>
      </c>
      <c r="X119" s="15">
        <v>5.0</v>
      </c>
      <c r="AB119" s="15" t="s">
        <v>132</v>
      </c>
    </row>
    <row r="120" ht="22.5" customHeight="1">
      <c r="A120" s="14">
        <v>46239.6050990625</v>
      </c>
      <c r="B120" s="15" t="s">
        <v>928</v>
      </c>
      <c r="C120" s="15" t="s">
        <v>929</v>
      </c>
      <c r="D120" s="15" t="s">
        <v>90</v>
      </c>
      <c r="H120" s="15" t="s">
        <v>930</v>
      </c>
      <c r="T120" s="15">
        <v>5.0</v>
      </c>
      <c r="W120" s="15" t="s">
        <v>143</v>
      </c>
      <c r="X120" s="15">
        <v>5.0</v>
      </c>
      <c r="AB120" s="15" t="s">
        <v>132</v>
      </c>
    </row>
    <row r="121" ht="22.5" customHeight="1">
      <c r="A121" s="14">
        <v>46239.72551137731</v>
      </c>
      <c r="B121" s="15" t="s">
        <v>734</v>
      </c>
      <c r="C121" s="15" t="s">
        <v>931</v>
      </c>
      <c r="D121" s="15" t="s">
        <v>90</v>
      </c>
      <c r="T121" s="15">
        <v>3.0</v>
      </c>
      <c r="X121" s="15">
        <v>3.0</v>
      </c>
      <c r="AB121" s="15" t="s">
        <v>132</v>
      </c>
    </row>
    <row r="122" ht="22.5" customHeight="1">
      <c r="A122" s="14">
        <v>46239.74988596065</v>
      </c>
      <c r="B122" s="15" t="s">
        <v>926</v>
      </c>
      <c r="C122" s="15" t="s">
        <v>932</v>
      </c>
      <c r="D122" s="15" t="s">
        <v>20</v>
      </c>
      <c r="T122" s="15">
        <v>4.0</v>
      </c>
      <c r="W122" s="15" t="s">
        <v>143</v>
      </c>
      <c r="X122" s="15">
        <v>4.0</v>
      </c>
      <c r="AB122" s="15" t="s">
        <v>132</v>
      </c>
    </row>
    <row r="123" ht="22.5" customHeight="1">
      <c r="A123" s="14">
        <v>46239.76340118056</v>
      </c>
      <c r="B123" s="15" t="s">
        <v>923</v>
      </c>
      <c r="C123" s="15" t="s">
        <v>933</v>
      </c>
      <c r="D123" s="15" t="s">
        <v>20</v>
      </c>
      <c r="H123" s="15" t="s">
        <v>934</v>
      </c>
      <c r="T123" s="15">
        <v>5.0</v>
      </c>
      <c r="W123" s="15" t="s">
        <v>260</v>
      </c>
      <c r="X123" s="15">
        <v>5.0</v>
      </c>
      <c r="AB123" s="15" t="s">
        <v>132</v>
      </c>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13"/>
    <col customWidth="1" min="2" max="2" width="18.88"/>
    <col customWidth="1" min="3" max="3" width="4.5"/>
    <col customWidth="1" min="4" max="4" width="37.63"/>
    <col customWidth="1" min="5" max="5" width="18.88"/>
  </cols>
  <sheetData>
    <row r="1">
      <c r="A1" s="2" t="s">
        <v>1</v>
      </c>
    </row>
    <row r="3">
      <c r="A3" s="3" t="s">
        <v>8</v>
      </c>
      <c r="B3" s="3" t="s">
        <v>12</v>
      </c>
      <c r="D3" s="3" t="s">
        <v>15</v>
      </c>
      <c r="E3" s="3" t="s">
        <v>12</v>
      </c>
    </row>
    <row r="4">
      <c r="A4" s="5" t="s">
        <v>17</v>
      </c>
      <c r="B4" s="7">
        <f>COUNTA('Form Responses 1'!A124:A1000)</f>
        <v>0</v>
      </c>
      <c r="D4" s="5" t="s">
        <v>27</v>
      </c>
      <c r="E4" s="8" t="str">
        <f>IFERROR(AVERAGE('Form Responses 1'!F124:F1000),"")</f>
        <v/>
      </c>
    </row>
    <row r="5">
      <c r="A5" s="5" t="s">
        <v>33</v>
      </c>
      <c r="B5" s="7">
        <f>COUNTIF('Form Responses 1'!I124:I1000,"Có")</f>
        <v>0</v>
      </c>
      <c r="D5" s="5" t="s">
        <v>35</v>
      </c>
      <c r="E5" s="8" t="str">
        <f>IFERROR(AVERAGE('Form Responses 1'!T124:T1000),"")</f>
        <v/>
      </c>
    </row>
    <row r="6">
      <c r="A6" s="5" t="s">
        <v>38</v>
      </c>
      <c r="B6" s="7">
        <f>COUNTIF('Form Responses 1'!Z124:Z1000,"Có")</f>
        <v>0</v>
      </c>
      <c r="D6" s="5" t="s">
        <v>42</v>
      </c>
      <c r="E6" s="8" t="str">
        <f>IFERROR(AVERAGE('Form Responses 1'!U124:U1000),"")</f>
        <v/>
      </c>
    </row>
    <row r="7">
      <c r="A7" s="5" t="s">
        <v>46</v>
      </c>
      <c r="B7" s="7">
        <f>COUNTIF('Form Responses 1'!Q124:Q1000,"Có")</f>
        <v>0</v>
      </c>
      <c r="D7" s="5" t="s">
        <v>49</v>
      </c>
      <c r="E7" s="8" t="str">
        <f>IFERROR(AVERAGE('Form Responses 1'!X124:X1000),"")</f>
        <v/>
      </c>
    </row>
    <row r="8">
      <c r="A8" s="5" t="s">
        <v>54</v>
      </c>
      <c r="B8" s="7">
        <f>COUNTIF('Điểm cộng'!L2:L1000,"OK")</f>
        <v>151</v>
      </c>
    </row>
    <row r="9">
      <c r="A9" s="5" t="s">
        <v>60</v>
      </c>
      <c r="B9" s="7">
        <f>SUMIF('Điểm cộng'!L2:L1000,"OK",'Điểm cộng'!J2:J1000)</f>
        <v>225</v>
      </c>
    </row>
    <row r="10">
      <c r="A10" s="5" t="s">
        <v>67</v>
      </c>
      <c r="B10" s="7">
        <f>COUNTIFS('Điểm cộng'!L2:L1000,"&lt;&gt;",'Điểm cộng'!L2:L1000,"&lt;&gt;OK")</f>
        <v>300</v>
      </c>
    </row>
    <row r="12">
      <c r="A12" s="3" t="s">
        <v>74</v>
      </c>
      <c r="B12" s="3" t="s">
        <v>75</v>
      </c>
      <c r="D12" s="3" t="s">
        <v>77</v>
      </c>
      <c r="E12" s="3" t="s">
        <v>75</v>
      </c>
    </row>
    <row r="13">
      <c r="A13" s="7" t="str">
        <f>IFERROR(__xludf.DUMMYFUNCTION("QUERY(ARRAYFORMULA(IF('Form Responses 1'!C124:C1000="""","""",REGEXEXTRACT('Form Responses 1'!C124:C1000,""-([A-Z]+[0-9]+)$""))),""select Col1, count(Col1) where Col1 is not null group by Col1 label Col1 'Lớp', count(Col1) 'Số report'"",0)"),"Lớp")</f>
        <v>Lớp</v>
      </c>
      <c r="B13" s="7" t="str">
        <f>IFERROR(__xludf.DUMMYFUNCTION("""COMPUTED_VALUE"""),"Số report")</f>
        <v>Số report</v>
      </c>
      <c r="D13" s="5" t="s">
        <v>102</v>
      </c>
      <c r="E13" s="7">
        <f>COUNTIF('Form Responses 1'!G124:G1000,D13)</f>
        <v>0</v>
      </c>
    </row>
    <row r="14">
      <c r="D14" s="5" t="s">
        <v>104</v>
      </c>
      <c r="E14" s="7">
        <f>COUNTIF('Form Responses 1'!G124:G1000,D14)</f>
        <v>0</v>
      </c>
    </row>
    <row r="15">
      <c r="D15" s="5" t="s">
        <v>106</v>
      </c>
      <c r="E15" s="7">
        <f>COUNTIF('Form Responses 1'!G124:G1000,D15)</f>
        <v>0</v>
      </c>
    </row>
    <row r="16">
      <c r="D16" s="5" t="s">
        <v>108</v>
      </c>
      <c r="E16" s="7">
        <f>COUNTIF('Form Responses 1'!G124:G1000,D16)</f>
        <v>0</v>
      </c>
    </row>
    <row r="20">
      <c r="A20" s="13" t="s">
        <v>114</v>
      </c>
    </row>
  </sheetData>
  <mergeCells count="2">
    <mergeCell ref="A1:E1"/>
    <mergeCell ref="A20:E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1.75"/>
    <col customWidth="1" min="3" max="3" width="10.5"/>
    <col customWidth="1" min="4" max="4" width="26.88"/>
    <col customWidth="1" min="5" max="5" width="22.75"/>
    <col customWidth="1" min="6" max="6" width="6.0"/>
    <col customWidth="1" min="7" max="7" width="8.63"/>
    <col customWidth="1" min="8" max="8" width="11.88"/>
    <col customWidth="1" min="9" max="9" width="10.13"/>
    <col customWidth="1" min="10" max="10" width="8.75"/>
    <col customWidth="1" min="11" max="11" width="27.0"/>
    <col customWidth="1" min="12" max="12" width="36.0"/>
    <col customWidth="1" min="13" max="13" width="52.63"/>
  </cols>
  <sheetData>
    <row r="1">
      <c r="A1" s="1" t="s">
        <v>0</v>
      </c>
      <c r="B1" s="1" t="s">
        <v>2</v>
      </c>
      <c r="C1" s="1" t="s">
        <v>3</v>
      </c>
      <c r="D1" s="1" t="s">
        <v>4</v>
      </c>
      <c r="E1" s="1" t="s">
        <v>5</v>
      </c>
      <c r="F1" s="1" t="s">
        <v>6</v>
      </c>
      <c r="G1" s="1" t="s">
        <v>7</v>
      </c>
      <c r="H1" s="1" t="s">
        <v>9</v>
      </c>
      <c r="I1" s="1" t="s">
        <v>10</v>
      </c>
      <c r="J1" s="1" t="s">
        <v>11</v>
      </c>
      <c r="K1" s="1" t="s">
        <v>13</v>
      </c>
      <c r="L1" s="1" t="s">
        <v>14</v>
      </c>
      <c r="M1" s="1" t="s">
        <v>16</v>
      </c>
    </row>
    <row r="2">
      <c r="A2" s="4">
        <v>3.51297083E8</v>
      </c>
      <c r="B2" s="4">
        <v>2.0</v>
      </c>
      <c r="C2" s="6">
        <v>46226.760092592594</v>
      </c>
      <c r="D2" s="5" t="s">
        <v>18</v>
      </c>
      <c r="E2" s="5" t="s">
        <v>19</v>
      </c>
      <c r="F2" s="5" t="s">
        <v>20</v>
      </c>
      <c r="L2" s="5" t="s">
        <v>21</v>
      </c>
      <c r="M2" s="5" t="s">
        <v>22</v>
      </c>
    </row>
    <row r="3">
      <c r="A3" s="4">
        <v>3.51297083E8</v>
      </c>
      <c r="B3" s="4">
        <v>2.0</v>
      </c>
      <c r="C3" s="6">
        <v>46226.760092592594</v>
      </c>
      <c r="D3" s="5" t="s">
        <v>18</v>
      </c>
      <c r="E3" s="5" t="s">
        <v>19</v>
      </c>
      <c r="F3" s="5" t="s">
        <v>20</v>
      </c>
      <c r="L3" s="5" t="s">
        <v>21</v>
      </c>
      <c r="M3" s="5" t="s">
        <v>23</v>
      </c>
    </row>
    <row r="4">
      <c r="A4" s="4">
        <v>3.51297083E8</v>
      </c>
      <c r="B4" s="4">
        <v>2.0</v>
      </c>
      <c r="C4" s="6">
        <v>46226.760092592594</v>
      </c>
      <c r="D4" s="5" t="s">
        <v>18</v>
      </c>
      <c r="E4" s="5" t="s">
        <v>19</v>
      </c>
      <c r="F4" s="5" t="s">
        <v>20</v>
      </c>
      <c r="L4" s="5" t="s">
        <v>21</v>
      </c>
      <c r="M4" s="5" t="s">
        <v>24</v>
      </c>
    </row>
    <row r="5">
      <c r="A5" s="4">
        <v>3.51297083E8</v>
      </c>
      <c r="B5" s="4">
        <v>2.0</v>
      </c>
      <c r="C5" s="6">
        <v>46226.760092592594</v>
      </c>
      <c r="D5" s="5" t="s">
        <v>18</v>
      </c>
      <c r="E5" s="5" t="s">
        <v>19</v>
      </c>
      <c r="F5" s="5" t="s">
        <v>20</v>
      </c>
      <c r="L5" s="5" t="s">
        <v>21</v>
      </c>
      <c r="M5" s="5" t="s">
        <v>25</v>
      </c>
    </row>
    <row r="6">
      <c r="A6" s="4">
        <v>3.51297083E8</v>
      </c>
      <c r="B6" s="4">
        <v>2.0</v>
      </c>
      <c r="C6" s="6">
        <v>46226.760092592594</v>
      </c>
      <c r="D6" s="5" t="s">
        <v>18</v>
      </c>
      <c r="E6" s="5" t="s">
        <v>19</v>
      </c>
      <c r="F6" s="5" t="s">
        <v>20</v>
      </c>
      <c r="L6" s="5" t="s">
        <v>21</v>
      </c>
      <c r="M6" s="5" t="s">
        <v>26</v>
      </c>
    </row>
    <row r="7">
      <c r="A7" s="4">
        <v>3.51297083E8</v>
      </c>
      <c r="B7" s="4">
        <v>3.0</v>
      </c>
      <c r="C7" s="6">
        <v>46226.76244212963</v>
      </c>
      <c r="D7" s="5" t="s">
        <v>28</v>
      </c>
      <c r="E7" s="5" t="s">
        <v>29</v>
      </c>
      <c r="F7" s="5" t="s">
        <v>20</v>
      </c>
      <c r="L7" s="5" t="s">
        <v>21</v>
      </c>
      <c r="M7" s="5" t="s">
        <v>30</v>
      </c>
    </row>
    <row r="8">
      <c r="A8" s="4">
        <v>3.51297083E8</v>
      </c>
      <c r="B8" s="4">
        <v>3.0</v>
      </c>
      <c r="C8" s="6">
        <v>46226.76244212963</v>
      </c>
      <c r="D8" s="5" t="s">
        <v>28</v>
      </c>
      <c r="E8" s="5" t="s">
        <v>29</v>
      </c>
      <c r="F8" s="5" t="s">
        <v>20</v>
      </c>
      <c r="L8" s="5" t="s">
        <v>21</v>
      </c>
      <c r="M8" s="5" t="s">
        <v>31</v>
      </c>
    </row>
    <row r="9">
      <c r="A9" s="4">
        <v>3.51297083E8</v>
      </c>
      <c r="B9" s="4">
        <v>3.0</v>
      </c>
      <c r="C9" s="6">
        <v>46226.76244212963</v>
      </c>
      <c r="D9" s="5" t="s">
        <v>28</v>
      </c>
      <c r="E9" s="5" t="s">
        <v>29</v>
      </c>
      <c r="F9" s="5" t="s">
        <v>20</v>
      </c>
      <c r="L9" s="5" t="s">
        <v>21</v>
      </c>
      <c r="M9" s="5" t="s">
        <v>32</v>
      </c>
    </row>
    <row r="10">
      <c r="A10" s="4">
        <v>3.51297083E8</v>
      </c>
      <c r="B10" s="4">
        <v>3.0</v>
      </c>
      <c r="C10" s="6">
        <v>46226.76244212963</v>
      </c>
      <c r="D10" s="5" t="s">
        <v>28</v>
      </c>
      <c r="E10" s="5" t="s">
        <v>29</v>
      </c>
      <c r="F10" s="5" t="s">
        <v>20</v>
      </c>
      <c r="L10" s="5" t="s">
        <v>21</v>
      </c>
      <c r="M10" s="5" t="s">
        <v>34</v>
      </c>
    </row>
    <row r="11">
      <c r="A11" s="4">
        <v>3.51297083E8</v>
      </c>
      <c r="B11" s="4">
        <v>3.0</v>
      </c>
      <c r="C11" s="6">
        <v>46226.76244212963</v>
      </c>
      <c r="D11" s="5" t="s">
        <v>28</v>
      </c>
      <c r="E11" s="5" t="s">
        <v>29</v>
      </c>
      <c r="F11" s="5" t="s">
        <v>20</v>
      </c>
      <c r="L11" s="5" t="s">
        <v>21</v>
      </c>
      <c r="M11" s="5" t="s">
        <v>36</v>
      </c>
    </row>
    <row r="12">
      <c r="A12" s="4">
        <v>3.51297083E8</v>
      </c>
      <c r="B12" s="4">
        <v>3.0</v>
      </c>
      <c r="C12" s="6">
        <v>46226.76244212963</v>
      </c>
      <c r="D12" s="5" t="s">
        <v>28</v>
      </c>
      <c r="E12" s="5" t="s">
        <v>29</v>
      </c>
      <c r="F12" s="5" t="s">
        <v>20</v>
      </c>
      <c r="L12" s="5" t="s">
        <v>21</v>
      </c>
      <c r="M12" s="5" t="s">
        <v>37</v>
      </c>
    </row>
    <row r="13">
      <c r="A13" s="4">
        <v>3.51297083E8</v>
      </c>
      <c r="B13" s="4">
        <v>3.0</v>
      </c>
      <c r="C13" s="6">
        <v>46226.76244212963</v>
      </c>
      <c r="D13" s="5" t="s">
        <v>28</v>
      </c>
      <c r="E13" s="5" t="s">
        <v>29</v>
      </c>
      <c r="F13" s="5" t="s">
        <v>20</v>
      </c>
      <c r="L13" s="5" t="s">
        <v>21</v>
      </c>
      <c r="M13" s="5" t="s">
        <v>40</v>
      </c>
    </row>
    <row r="14">
      <c r="A14" s="4">
        <v>3.51297083E8</v>
      </c>
      <c r="B14" s="4">
        <v>7.0</v>
      </c>
      <c r="C14" s="6">
        <v>46226.88496527778</v>
      </c>
      <c r="D14" s="5" t="s">
        <v>28</v>
      </c>
      <c r="E14" s="5" t="s">
        <v>41</v>
      </c>
      <c r="F14" s="5" t="s">
        <v>20</v>
      </c>
      <c r="L14" s="5" t="s">
        <v>21</v>
      </c>
      <c r="M14" s="5" t="s">
        <v>43</v>
      </c>
    </row>
    <row r="15">
      <c r="A15" s="4">
        <v>3.51297083E8</v>
      </c>
      <c r="B15" s="4">
        <v>7.0</v>
      </c>
      <c r="C15" s="6">
        <v>46226.88496527778</v>
      </c>
      <c r="D15" s="5" t="s">
        <v>28</v>
      </c>
      <c r="E15" s="5" t="s">
        <v>41</v>
      </c>
      <c r="F15" s="5" t="s">
        <v>20</v>
      </c>
      <c r="L15" s="5" t="s">
        <v>21</v>
      </c>
      <c r="M15" s="5" t="s">
        <v>44</v>
      </c>
    </row>
    <row r="16">
      <c r="A16" s="4">
        <v>3.51297083E8</v>
      </c>
      <c r="B16" s="4">
        <v>8.0</v>
      </c>
      <c r="C16" s="6">
        <v>46226.91489583333</v>
      </c>
      <c r="D16" s="5" t="s">
        <v>45</v>
      </c>
      <c r="E16" s="5" t="s">
        <v>47</v>
      </c>
      <c r="F16" s="5" t="s">
        <v>20</v>
      </c>
      <c r="L16" s="5" t="s">
        <v>21</v>
      </c>
      <c r="M16" s="5" t="s">
        <v>48</v>
      </c>
    </row>
    <row r="17">
      <c r="A17" s="4">
        <v>3.51297083E8</v>
      </c>
      <c r="B17" s="4">
        <v>8.0</v>
      </c>
      <c r="C17" s="6">
        <v>46226.91489583333</v>
      </c>
      <c r="D17" s="5" t="s">
        <v>45</v>
      </c>
      <c r="E17" s="5" t="s">
        <v>47</v>
      </c>
      <c r="F17" s="5" t="s">
        <v>20</v>
      </c>
      <c r="L17" s="5" t="s">
        <v>21</v>
      </c>
      <c r="M17" s="5" t="s">
        <v>51</v>
      </c>
    </row>
    <row r="18">
      <c r="A18" s="4">
        <v>3.51297083E8</v>
      </c>
      <c r="B18" s="4">
        <v>8.0</v>
      </c>
      <c r="C18" s="6">
        <v>46226.91489583333</v>
      </c>
      <c r="D18" s="5" t="s">
        <v>45</v>
      </c>
      <c r="E18" s="5" t="s">
        <v>47</v>
      </c>
      <c r="F18" s="5" t="s">
        <v>20</v>
      </c>
      <c r="L18" s="5" t="s">
        <v>21</v>
      </c>
      <c r="M18" s="5" t="s">
        <v>53</v>
      </c>
    </row>
    <row r="19">
      <c r="A19" s="4">
        <v>3.51297083E8</v>
      </c>
      <c r="B19" s="4">
        <v>8.0</v>
      </c>
      <c r="C19" s="6">
        <v>46226.91489583333</v>
      </c>
      <c r="D19" s="5" t="s">
        <v>45</v>
      </c>
      <c r="E19" s="5" t="s">
        <v>47</v>
      </c>
      <c r="F19" s="5" t="s">
        <v>20</v>
      </c>
      <c r="L19" s="5" t="s">
        <v>21</v>
      </c>
      <c r="M19" s="5" t="s">
        <v>56</v>
      </c>
    </row>
    <row r="20">
      <c r="A20" s="4">
        <v>3.51297083E8</v>
      </c>
      <c r="B20" s="4">
        <v>8.0</v>
      </c>
      <c r="C20" s="6">
        <v>46226.91489583333</v>
      </c>
      <c r="D20" s="5" t="s">
        <v>45</v>
      </c>
      <c r="E20" s="5" t="s">
        <v>47</v>
      </c>
      <c r="F20" s="5" t="s">
        <v>20</v>
      </c>
      <c r="L20" s="5" t="s">
        <v>21</v>
      </c>
      <c r="M20" s="5" t="s">
        <v>58</v>
      </c>
    </row>
    <row r="21">
      <c r="A21" s="4">
        <v>3.51297083E8</v>
      </c>
      <c r="B21" s="4">
        <v>8.0</v>
      </c>
      <c r="C21" s="6">
        <v>46226.91489583333</v>
      </c>
      <c r="D21" s="5" t="s">
        <v>45</v>
      </c>
      <c r="E21" s="5" t="s">
        <v>47</v>
      </c>
      <c r="F21" s="5" t="s">
        <v>20</v>
      </c>
      <c r="L21" s="5" t="s">
        <v>21</v>
      </c>
      <c r="M21" s="5" t="s">
        <v>63</v>
      </c>
    </row>
    <row r="22">
      <c r="A22" s="4">
        <v>3.51297083E8</v>
      </c>
      <c r="B22" s="4">
        <v>8.0</v>
      </c>
      <c r="C22" s="6">
        <v>46226.91489583333</v>
      </c>
      <c r="D22" s="5" t="s">
        <v>45</v>
      </c>
      <c r="E22" s="5" t="s">
        <v>47</v>
      </c>
      <c r="F22" s="5" t="s">
        <v>20</v>
      </c>
      <c r="L22" s="5" t="s">
        <v>21</v>
      </c>
      <c r="M22" s="5" t="s">
        <v>66</v>
      </c>
    </row>
    <row r="23">
      <c r="A23" s="4">
        <v>3.51297083E8</v>
      </c>
      <c r="B23" s="4">
        <v>8.0</v>
      </c>
      <c r="C23" s="6">
        <v>46226.91489583333</v>
      </c>
      <c r="D23" s="5" t="s">
        <v>45</v>
      </c>
      <c r="E23" s="5" t="s">
        <v>47</v>
      </c>
      <c r="F23" s="5" t="s">
        <v>20</v>
      </c>
      <c r="L23" s="5" t="s">
        <v>21</v>
      </c>
      <c r="M23" s="5" t="s">
        <v>69</v>
      </c>
    </row>
    <row r="24">
      <c r="A24" s="4">
        <v>3.51297083E8</v>
      </c>
      <c r="B24" s="4">
        <v>8.0</v>
      </c>
      <c r="C24" s="6">
        <v>46226.91489583333</v>
      </c>
      <c r="D24" s="5" t="s">
        <v>45</v>
      </c>
      <c r="E24" s="5" t="s">
        <v>47</v>
      </c>
      <c r="F24" s="5" t="s">
        <v>20</v>
      </c>
      <c r="L24" s="5" t="s">
        <v>21</v>
      </c>
      <c r="M24" s="5" t="s">
        <v>72</v>
      </c>
    </row>
    <row r="25">
      <c r="A25" s="4">
        <v>3.51297083E8</v>
      </c>
      <c r="B25" s="4">
        <v>8.0</v>
      </c>
      <c r="C25" s="6">
        <v>46226.91489583333</v>
      </c>
      <c r="D25" s="5" t="s">
        <v>45</v>
      </c>
      <c r="E25" s="5" t="s">
        <v>47</v>
      </c>
      <c r="F25" s="5" t="s">
        <v>20</v>
      </c>
      <c r="L25" s="5" t="s">
        <v>21</v>
      </c>
      <c r="M25" s="5" t="s">
        <v>78</v>
      </c>
    </row>
    <row r="26">
      <c r="A26" s="4">
        <v>3.51297083E8</v>
      </c>
      <c r="B26" s="4">
        <v>8.0</v>
      </c>
      <c r="C26" s="6">
        <v>46226.91489583333</v>
      </c>
      <c r="D26" s="5" t="s">
        <v>45</v>
      </c>
      <c r="E26" s="5" t="s">
        <v>47</v>
      </c>
      <c r="F26" s="5" t="s">
        <v>20</v>
      </c>
      <c r="L26" s="5" t="s">
        <v>21</v>
      </c>
      <c r="M26" s="5" t="s">
        <v>81</v>
      </c>
    </row>
    <row r="27">
      <c r="A27" s="4">
        <v>3.51297083E8</v>
      </c>
      <c r="B27" s="4">
        <v>8.0</v>
      </c>
      <c r="C27" s="6">
        <v>46226.91489583333</v>
      </c>
      <c r="D27" s="5" t="s">
        <v>45</v>
      </c>
      <c r="E27" s="5" t="s">
        <v>47</v>
      </c>
      <c r="F27" s="5" t="s">
        <v>20</v>
      </c>
      <c r="L27" s="5" t="s">
        <v>21</v>
      </c>
      <c r="M27" s="5" t="s">
        <v>84</v>
      </c>
    </row>
    <row r="28">
      <c r="A28" s="4">
        <v>3.51297083E8</v>
      </c>
      <c r="B28" s="4">
        <v>8.0</v>
      </c>
      <c r="C28" s="6">
        <v>46226.91489583333</v>
      </c>
      <c r="D28" s="5" t="s">
        <v>45</v>
      </c>
      <c r="E28" s="5" t="s">
        <v>47</v>
      </c>
      <c r="F28" s="5" t="s">
        <v>20</v>
      </c>
      <c r="L28" s="5" t="s">
        <v>21</v>
      </c>
      <c r="M28" s="5" t="s">
        <v>86</v>
      </c>
    </row>
    <row r="29">
      <c r="A29" s="4">
        <v>3.51297083E8</v>
      </c>
      <c r="B29" s="4">
        <v>9.0</v>
      </c>
      <c r="C29" s="6">
        <v>46227.527592592596</v>
      </c>
      <c r="D29" s="5" t="s">
        <v>88</v>
      </c>
      <c r="E29" s="5" t="s">
        <v>89</v>
      </c>
      <c r="F29" s="5" t="s">
        <v>90</v>
      </c>
      <c r="L29" s="5" t="s">
        <v>21</v>
      </c>
      <c r="M29" s="5" t="s">
        <v>92</v>
      </c>
    </row>
    <row r="30">
      <c r="A30" s="4">
        <v>3.51297083E8</v>
      </c>
      <c r="B30" s="4">
        <v>9.0</v>
      </c>
      <c r="C30" s="6">
        <v>46227.527592592596</v>
      </c>
      <c r="D30" s="5" t="s">
        <v>88</v>
      </c>
      <c r="E30" s="5" t="s">
        <v>89</v>
      </c>
      <c r="F30" s="5" t="s">
        <v>90</v>
      </c>
      <c r="L30" s="5" t="s">
        <v>21</v>
      </c>
      <c r="M30" s="5" t="s">
        <v>95</v>
      </c>
    </row>
    <row r="31">
      <c r="A31" s="4">
        <v>3.51297083E8</v>
      </c>
      <c r="B31" s="4">
        <v>9.0</v>
      </c>
      <c r="C31" s="6">
        <v>46227.527592592596</v>
      </c>
      <c r="D31" s="5" t="s">
        <v>88</v>
      </c>
      <c r="E31" s="5" t="s">
        <v>89</v>
      </c>
      <c r="F31" s="5" t="s">
        <v>90</v>
      </c>
      <c r="L31" s="5" t="s">
        <v>21</v>
      </c>
      <c r="M31" s="5" t="s">
        <v>97</v>
      </c>
    </row>
    <row r="32">
      <c r="A32" s="4">
        <v>3.51297083E8</v>
      </c>
      <c r="B32" s="4">
        <v>9.0</v>
      </c>
      <c r="C32" s="6">
        <v>46227.527592592596</v>
      </c>
      <c r="D32" s="5" t="s">
        <v>88</v>
      </c>
      <c r="E32" s="5" t="s">
        <v>89</v>
      </c>
      <c r="F32" s="5" t="s">
        <v>90</v>
      </c>
      <c r="L32" s="5" t="s">
        <v>21</v>
      </c>
      <c r="M32" s="5" t="s">
        <v>100</v>
      </c>
    </row>
    <row r="33">
      <c r="A33" s="4">
        <v>3.51297083E8</v>
      </c>
      <c r="B33" s="4">
        <v>9.0</v>
      </c>
      <c r="C33" s="6">
        <v>46227.527592592596</v>
      </c>
      <c r="D33" s="5" t="s">
        <v>88</v>
      </c>
      <c r="E33" s="5" t="s">
        <v>89</v>
      </c>
      <c r="F33" s="5" t="s">
        <v>90</v>
      </c>
      <c r="L33" s="5" t="s">
        <v>21</v>
      </c>
      <c r="M33" s="5" t="s">
        <v>101</v>
      </c>
    </row>
    <row r="34">
      <c r="A34" s="4">
        <v>3.51297083E8</v>
      </c>
      <c r="B34" s="4">
        <v>9.0</v>
      </c>
      <c r="C34" s="6">
        <v>46227.527592592596</v>
      </c>
      <c r="D34" s="5" t="s">
        <v>88</v>
      </c>
      <c r="E34" s="5" t="s">
        <v>89</v>
      </c>
      <c r="F34" s="5" t="s">
        <v>90</v>
      </c>
      <c r="L34" s="5" t="s">
        <v>21</v>
      </c>
      <c r="M34" s="5" t="s">
        <v>103</v>
      </c>
    </row>
    <row r="35">
      <c r="A35" s="4">
        <v>3.51297083E8</v>
      </c>
      <c r="B35" s="4">
        <v>9.0</v>
      </c>
      <c r="C35" s="6">
        <v>46227.527592592596</v>
      </c>
      <c r="D35" s="5" t="s">
        <v>88</v>
      </c>
      <c r="E35" s="5" t="s">
        <v>89</v>
      </c>
      <c r="F35" s="5" t="s">
        <v>90</v>
      </c>
      <c r="L35" s="5" t="s">
        <v>21</v>
      </c>
      <c r="M35" s="5" t="s">
        <v>105</v>
      </c>
    </row>
    <row r="36">
      <c r="A36" s="4">
        <v>3.51297083E8</v>
      </c>
      <c r="B36" s="4">
        <v>9.0</v>
      </c>
      <c r="C36" s="6">
        <v>46227.527592592596</v>
      </c>
      <c r="D36" s="5" t="s">
        <v>88</v>
      </c>
      <c r="E36" s="5" t="s">
        <v>89</v>
      </c>
      <c r="F36" s="5" t="s">
        <v>90</v>
      </c>
      <c r="L36" s="5" t="s">
        <v>21</v>
      </c>
      <c r="M36" s="5" t="s">
        <v>107</v>
      </c>
    </row>
    <row r="37">
      <c r="A37" s="4">
        <v>3.51297083E8</v>
      </c>
      <c r="B37" s="4">
        <v>9.0</v>
      </c>
      <c r="C37" s="6">
        <v>46227.527592592596</v>
      </c>
      <c r="D37" s="5" t="s">
        <v>88</v>
      </c>
      <c r="E37" s="5" t="s">
        <v>89</v>
      </c>
      <c r="F37" s="5" t="s">
        <v>90</v>
      </c>
      <c r="L37" s="5" t="s">
        <v>21</v>
      </c>
      <c r="M37" s="5" t="s">
        <v>109</v>
      </c>
    </row>
    <row r="38">
      <c r="A38" s="4">
        <v>3.51297083E8</v>
      </c>
      <c r="B38" s="4">
        <v>10.0</v>
      </c>
      <c r="C38" s="6">
        <v>46227.53949074074</v>
      </c>
      <c r="D38" s="5" t="s">
        <v>111</v>
      </c>
      <c r="E38" s="5" t="s">
        <v>29</v>
      </c>
      <c r="F38" s="5" t="s">
        <v>90</v>
      </c>
      <c r="L38" s="5" t="s">
        <v>21</v>
      </c>
      <c r="M38" s="5" t="s">
        <v>112</v>
      </c>
    </row>
    <row r="39">
      <c r="A39" s="4">
        <v>3.51297083E8</v>
      </c>
      <c r="B39" s="4">
        <v>10.0</v>
      </c>
      <c r="C39" s="6">
        <v>46227.53949074074</v>
      </c>
      <c r="D39" s="5" t="s">
        <v>111</v>
      </c>
      <c r="E39" s="5" t="s">
        <v>29</v>
      </c>
      <c r="F39" s="5" t="s">
        <v>90</v>
      </c>
      <c r="L39" s="5" t="s">
        <v>21</v>
      </c>
      <c r="M39" s="5" t="s">
        <v>116</v>
      </c>
    </row>
    <row r="40">
      <c r="A40" s="4">
        <v>3.51297083E8</v>
      </c>
      <c r="B40" s="4">
        <v>11.0</v>
      </c>
      <c r="C40" s="6">
        <v>46227.74528935185</v>
      </c>
      <c r="D40" s="5" t="s">
        <v>118</v>
      </c>
      <c r="E40" s="5" t="s">
        <v>119</v>
      </c>
      <c r="F40" s="5" t="s">
        <v>90</v>
      </c>
      <c r="H40" s="5">
        <v>2014.0</v>
      </c>
      <c r="I40" s="5" t="s">
        <v>120</v>
      </c>
      <c r="J40" s="4">
        <v>1.0</v>
      </c>
      <c r="K40" s="5" t="s">
        <v>121</v>
      </c>
      <c r="L40" s="5" t="s">
        <v>122</v>
      </c>
      <c r="M40" s="5" t="s">
        <v>123</v>
      </c>
    </row>
    <row r="41">
      <c r="A41" s="4">
        <v>3.51297083E8</v>
      </c>
      <c r="B41" s="4">
        <v>11.0</v>
      </c>
      <c r="C41" s="6">
        <v>46227.74528935185</v>
      </c>
      <c r="D41" s="5" t="s">
        <v>118</v>
      </c>
      <c r="E41" s="5" t="s">
        <v>119</v>
      </c>
      <c r="F41" s="5" t="s">
        <v>90</v>
      </c>
      <c r="H41" s="5">
        <v>2008.0</v>
      </c>
      <c r="I41" s="5" t="s">
        <v>124</v>
      </c>
      <c r="J41" s="4">
        <v>2.0</v>
      </c>
      <c r="K41" s="5" t="s">
        <v>121</v>
      </c>
      <c r="L41" s="5" t="s">
        <v>122</v>
      </c>
      <c r="M41" s="5" t="s">
        <v>125</v>
      </c>
    </row>
    <row r="42">
      <c r="A42" s="4">
        <v>3.51297083E8</v>
      </c>
      <c r="B42" s="4">
        <v>11.0</v>
      </c>
      <c r="C42" s="6">
        <v>46227.74528935185</v>
      </c>
      <c r="D42" s="5" t="s">
        <v>118</v>
      </c>
      <c r="E42" s="5" t="s">
        <v>119</v>
      </c>
      <c r="F42" s="5" t="s">
        <v>90</v>
      </c>
      <c r="H42" s="5">
        <v>1934.0</v>
      </c>
      <c r="I42" s="5" t="s">
        <v>126</v>
      </c>
      <c r="J42" s="4">
        <v>2.0</v>
      </c>
      <c r="K42" s="5" t="s">
        <v>121</v>
      </c>
      <c r="L42" s="5" t="s">
        <v>122</v>
      </c>
      <c r="M42" s="5" t="s">
        <v>127</v>
      </c>
    </row>
    <row r="43">
      <c r="A43" s="4">
        <v>3.51297083E8</v>
      </c>
      <c r="B43" s="4">
        <v>11.0</v>
      </c>
      <c r="C43" s="6">
        <v>46227.74528935185</v>
      </c>
      <c r="D43" s="5" t="s">
        <v>118</v>
      </c>
      <c r="E43" s="5" t="s">
        <v>119</v>
      </c>
      <c r="F43" s="5" t="s">
        <v>90</v>
      </c>
      <c r="H43" s="5">
        <v>1788.0</v>
      </c>
      <c r="I43" s="5" t="s">
        <v>128</v>
      </c>
      <c r="J43" s="4">
        <v>1.0</v>
      </c>
      <c r="K43" s="5" t="s">
        <v>121</v>
      </c>
      <c r="L43" s="5" t="s">
        <v>122</v>
      </c>
      <c r="M43" s="5" t="s">
        <v>129</v>
      </c>
    </row>
    <row r="44">
      <c r="A44" s="4">
        <v>3.51297083E8</v>
      </c>
      <c r="B44" s="4">
        <v>11.0</v>
      </c>
      <c r="C44" s="6">
        <v>46227.74528935185</v>
      </c>
      <c r="D44" s="5" t="s">
        <v>118</v>
      </c>
      <c r="E44" s="5" t="s">
        <v>119</v>
      </c>
      <c r="F44" s="5" t="s">
        <v>90</v>
      </c>
      <c r="H44" s="5">
        <v>1884.0</v>
      </c>
      <c r="I44" s="5" t="s">
        <v>130</v>
      </c>
      <c r="J44" s="4">
        <v>2.0</v>
      </c>
      <c r="K44" s="5" t="s">
        <v>121</v>
      </c>
      <c r="L44" s="5" t="s">
        <v>122</v>
      </c>
      <c r="M44" s="5" t="s">
        <v>131</v>
      </c>
    </row>
    <row r="45">
      <c r="A45" s="4">
        <v>3.51297083E8</v>
      </c>
      <c r="B45" s="4">
        <v>11.0</v>
      </c>
      <c r="C45" s="6">
        <v>46227.74528935185</v>
      </c>
      <c r="D45" s="5" t="s">
        <v>118</v>
      </c>
      <c r="E45" s="5" t="s">
        <v>119</v>
      </c>
      <c r="F45" s="5" t="s">
        <v>90</v>
      </c>
      <c r="H45" s="5">
        <v>1634.0</v>
      </c>
      <c r="I45" s="5" t="s">
        <v>133</v>
      </c>
      <c r="J45" s="4">
        <v>1.0</v>
      </c>
      <c r="K45" s="5" t="s">
        <v>121</v>
      </c>
      <c r="L45" s="5" t="s">
        <v>122</v>
      </c>
      <c r="M45" s="5" t="s">
        <v>134</v>
      </c>
    </row>
    <row r="46">
      <c r="A46" s="4">
        <v>3.51297083E8</v>
      </c>
      <c r="B46" s="4">
        <v>11.0</v>
      </c>
      <c r="C46" s="6">
        <v>46227.74528935185</v>
      </c>
      <c r="D46" s="5" t="s">
        <v>118</v>
      </c>
      <c r="E46" s="5" t="s">
        <v>119</v>
      </c>
      <c r="F46" s="5" t="s">
        <v>90</v>
      </c>
      <c r="H46" s="5">
        <v>1682.0</v>
      </c>
      <c r="I46" s="5" t="s">
        <v>135</v>
      </c>
      <c r="J46" s="4">
        <v>1.0</v>
      </c>
      <c r="K46" s="5" t="s">
        <v>121</v>
      </c>
      <c r="L46" s="5" t="s">
        <v>122</v>
      </c>
      <c r="M46" s="5" t="s">
        <v>136</v>
      </c>
    </row>
    <row r="47">
      <c r="A47" s="4">
        <v>3.51297083E8</v>
      </c>
      <c r="B47" s="4">
        <v>11.0</v>
      </c>
      <c r="C47" s="6">
        <v>46227.74528935185</v>
      </c>
      <c r="D47" s="5" t="s">
        <v>118</v>
      </c>
      <c r="E47" s="5" t="s">
        <v>119</v>
      </c>
      <c r="F47" s="5" t="s">
        <v>90</v>
      </c>
      <c r="H47" s="5">
        <v>1346.0</v>
      </c>
      <c r="I47" s="5" t="s">
        <v>138</v>
      </c>
      <c r="J47" s="4">
        <v>1.0</v>
      </c>
      <c r="K47" s="5" t="s">
        <v>121</v>
      </c>
      <c r="L47" s="5" t="s">
        <v>122</v>
      </c>
      <c r="M47" s="5" t="s">
        <v>139</v>
      </c>
    </row>
    <row r="48">
      <c r="A48" s="4">
        <v>3.51297083E8</v>
      </c>
      <c r="B48" s="4">
        <v>11.0</v>
      </c>
      <c r="C48" s="6">
        <v>46227.74528935185</v>
      </c>
      <c r="D48" s="5" t="s">
        <v>118</v>
      </c>
      <c r="E48" s="5" t="s">
        <v>119</v>
      </c>
      <c r="F48" s="5" t="s">
        <v>90</v>
      </c>
      <c r="H48" s="5">
        <v>1068.0</v>
      </c>
      <c r="I48" s="5" t="s">
        <v>141</v>
      </c>
      <c r="J48" s="4">
        <v>1.0</v>
      </c>
      <c r="K48" s="5" t="s">
        <v>121</v>
      </c>
      <c r="L48" s="5" t="s">
        <v>122</v>
      </c>
      <c r="M48" s="5" t="s">
        <v>142</v>
      </c>
    </row>
    <row r="49">
      <c r="A49" s="4">
        <v>3.51297083E8</v>
      </c>
      <c r="B49" s="4">
        <v>11.0</v>
      </c>
      <c r="C49" s="6">
        <v>46227.74528935185</v>
      </c>
      <c r="D49" s="5" t="s">
        <v>118</v>
      </c>
      <c r="E49" s="5" t="s">
        <v>119</v>
      </c>
      <c r="F49" s="5" t="s">
        <v>90</v>
      </c>
      <c r="H49" s="5">
        <v>1038.0</v>
      </c>
      <c r="I49" s="5" t="s">
        <v>144</v>
      </c>
      <c r="J49" s="4">
        <v>1.0</v>
      </c>
      <c r="K49" s="5" t="s">
        <v>121</v>
      </c>
      <c r="L49" s="5" t="s">
        <v>122</v>
      </c>
      <c r="M49" s="5" t="s">
        <v>146</v>
      </c>
    </row>
    <row r="50">
      <c r="A50" s="4">
        <v>3.51297083E8</v>
      </c>
      <c r="B50" s="4">
        <v>11.0</v>
      </c>
      <c r="C50" s="6">
        <v>46227.74528935185</v>
      </c>
      <c r="D50" s="5" t="s">
        <v>118</v>
      </c>
      <c r="E50" s="5" t="s">
        <v>119</v>
      </c>
      <c r="F50" s="5" t="s">
        <v>90</v>
      </c>
      <c r="H50" s="5">
        <v>1844.0</v>
      </c>
      <c r="I50" s="5" t="s">
        <v>147</v>
      </c>
      <c r="J50" s="4">
        <v>2.0</v>
      </c>
      <c r="K50" s="5" t="s">
        <v>121</v>
      </c>
      <c r="L50" s="5" t="s">
        <v>122</v>
      </c>
      <c r="M50" s="5" t="s">
        <v>148</v>
      </c>
    </row>
    <row r="51">
      <c r="A51" s="4">
        <v>3.51297083E8</v>
      </c>
      <c r="B51" s="4">
        <v>11.0</v>
      </c>
      <c r="C51" s="6">
        <v>46227.74528935185</v>
      </c>
      <c r="D51" s="5" t="s">
        <v>118</v>
      </c>
      <c r="E51" s="5" t="s">
        <v>119</v>
      </c>
      <c r="F51" s="5" t="s">
        <v>90</v>
      </c>
      <c r="H51" s="5">
        <v>1182.0</v>
      </c>
      <c r="I51" s="5" t="s">
        <v>149</v>
      </c>
      <c r="J51" s="4">
        <v>1.0</v>
      </c>
      <c r="K51" s="5" t="s">
        <v>121</v>
      </c>
      <c r="L51" s="5" t="s">
        <v>122</v>
      </c>
      <c r="M51" s="5" t="s">
        <v>150</v>
      </c>
    </row>
    <row r="52">
      <c r="A52" s="4">
        <v>3.51297083E8</v>
      </c>
      <c r="B52" s="4">
        <v>11.0</v>
      </c>
      <c r="C52" s="6">
        <v>46227.74528935185</v>
      </c>
      <c r="D52" s="5" t="s">
        <v>118</v>
      </c>
      <c r="E52" s="5" t="s">
        <v>119</v>
      </c>
      <c r="F52" s="5" t="s">
        <v>90</v>
      </c>
      <c r="H52" s="5">
        <v>1828.0</v>
      </c>
      <c r="I52" s="5" t="s">
        <v>153</v>
      </c>
      <c r="J52" s="4">
        <v>1.0</v>
      </c>
      <c r="K52" s="5" t="s">
        <v>121</v>
      </c>
      <c r="L52" s="5" t="s">
        <v>122</v>
      </c>
      <c r="M52" s="5" t="s">
        <v>154</v>
      </c>
    </row>
    <row r="53">
      <c r="A53" s="4">
        <v>3.51297083E8</v>
      </c>
      <c r="B53" s="4">
        <v>11.0</v>
      </c>
      <c r="C53" s="6">
        <v>46227.74528935185</v>
      </c>
      <c r="D53" s="5" t="s">
        <v>118</v>
      </c>
      <c r="E53" s="5" t="s">
        <v>119</v>
      </c>
      <c r="F53" s="5" t="s">
        <v>90</v>
      </c>
      <c r="H53" s="5">
        <v>1732.0</v>
      </c>
      <c r="I53" s="5" t="s">
        <v>155</v>
      </c>
      <c r="J53" s="4">
        <v>1.0</v>
      </c>
      <c r="K53" s="5" t="s">
        <v>121</v>
      </c>
      <c r="L53" s="5" t="s">
        <v>122</v>
      </c>
      <c r="M53" s="5" t="s">
        <v>156</v>
      </c>
    </row>
    <row r="54">
      <c r="A54" s="4">
        <v>3.51297083E8</v>
      </c>
      <c r="B54" s="4">
        <v>11.0</v>
      </c>
      <c r="C54" s="6">
        <v>46227.74528935185</v>
      </c>
      <c r="D54" s="5" t="s">
        <v>118</v>
      </c>
      <c r="E54" s="5" t="s">
        <v>119</v>
      </c>
      <c r="F54" s="5" t="s">
        <v>90</v>
      </c>
      <c r="H54" s="5">
        <v>1911.0</v>
      </c>
      <c r="I54" s="5" t="s">
        <v>157</v>
      </c>
      <c r="J54" s="4">
        <v>2.0</v>
      </c>
      <c r="K54" s="5" t="s">
        <v>121</v>
      </c>
      <c r="L54" s="5" t="s">
        <v>122</v>
      </c>
      <c r="M54" s="5" t="s">
        <v>158</v>
      </c>
    </row>
    <row r="55">
      <c r="A55" s="4">
        <v>3.51297083E8</v>
      </c>
      <c r="B55" s="4">
        <v>11.0</v>
      </c>
      <c r="C55" s="6">
        <v>46227.74528935185</v>
      </c>
      <c r="D55" s="5" t="s">
        <v>118</v>
      </c>
      <c r="E55" s="5" t="s">
        <v>119</v>
      </c>
      <c r="F55" s="5" t="s">
        <v>90</v>
      </c>
      <c r="H55" s="5">
        <v>1640.0</v>
      </c>
      <c r="I55" s="5" t="s">
        <v>160</v>
      </c>
      <c r="J55" s="4">
        <v>1.0</v>
      </c>
      <c r="K55" s="5" t="s">
        <v>121</v>
      </c>
      <c r="L55" s="5" t="s">
        <v>122</v>
      </c>
      <c r="M55" s="5" t="s">
        <v>161</v>
      </c>
    </row>
    <row r="56">
      <c r="A56" s="4">
        <v>3.51297083E8</v>
      </c>
      <c r="B56" s="4">
        <v>11.0</v>
      </c>
      <c r="C56" s="6">
        <v>46227.74528935185</v>
      </c>
      <c r="D56" s="5" t="s">
        <v>118</v>
      </c>
      <c r="E56" s="5" t="s">
        <v>119</v>
      </c>
      <c r="F56" s="5" t="s">
        <v>90</v>
      </c>
      <c r="H56" s="5">
        <v>1945.0</v>
      </c>
      <c r="I56" s="5" t="s">
        <v>163</v>
      </c>
      <c r="J56" s="4">
        <v>2.0</v>
      </c>
      <c r="K56" s="5" t="s">
        <v>121</v>
      </c>
      <c r="L56" s="5" t="s">
        <v>122</v>
      </c>
      <c r="M56" s="5" t="s">
        <v>164</v>
      </c>
    </row>
    <row r="57">
      <c r="A57" s="4">
        <v>3.51297083E8</v>
      </c>
      <c r="B57" s="4">
        <v>11.0</v>
      </c>
      <c r="C57" s="6">
        <v>46227.74528935185</v>
      </c>
      <c r="D57" s="5" t="s">
        <v>118</v>
      </c>
      <c r="E57" s="5" t="s">
        <v>119</v>
      </c>
      <c r="F57" s="5" t="s">
        <v>90</v>
      </c>
      <c r="H57" s="5">
        <v>1768.0</v>
      </c>
      <c r="I57" s="5" t="s">
        <v>165</v>
      </c>
      <c r="J57" s="4">
        <v>1.0</v>
      </c>
      <c r="K57" s="5" t="s">
        <v>121</v>
      </c>
      <c r="L57" s="5" t="s">
        <v>122</v>
      </c>
      <c r="M57" s="5" t="s">
        <v>166</v>
      </c>
    </row>
    <row r="58">
      <c r="A58" s="4">
        <v>3.51297083E8</v>
      </c>
      <c r="B58" s="4">
        <v>11.0</v>
      </c>
      <c r="C58" s="6">
        <v>46227.74528935185</v>
      </c>
      <c r="D58" s="5" t="s">
        <v>118</v>
      </c>
      <c r="E58" s="5" t="s">
        <v>119</v>
      </c>
      <c r="F58" s="5" t="s">
        <v>90</v>
      </c>
      <c r="H58" s="5">
        <v>1966.0</v>
      </c>
      <c r="I58" s="5" t="s">
        <v>167</v>
      </c>
      <c r="J58" s="4">
        <v>1.0</v>
      </c>
      <c r="K58" s="5" t="s">
        <v>121</v>
      </c>
      <c r="L58" s="5" t="s">
        <v>122</v>
      </c>
      <c r="M58" s="5" t="s">
        <v>169</v>
      </c>
    </row>
    <row r="59">
      <c r="A59" s="4">
        <v>3.51297083E8</v>
      </c>
      <c r="B59" s="4">
        <v>11.0</v>
      </c>
      <c r="C59" s="6">
        <v>46227.74528935185</v>
      </c>
      <c r="D59" s="5" t="s">
        <v>118</v>
      </c>
      <c r="E59" s="5" t="s">
        <v>119</v>
      </c>
      <c r="F59" s="5" t="s">
        <v>90</v>
      </c>
      <c r="H59" s="5">
        <v>1130.0</v>
      </c>
      <c r="I59" s="5" t="s">
        <v>170</v>
      </c>
      <c r="J59" s="4">
        <v>1.0</v>
      </c>
      <c r="K59" s="5" t="s">
        <v>121</v>
      </c>
      <c r="L59" s="5" t="s">
        <v>122</v>
      </c>
      <c r="M59" s="5" t="s">
        <v>172</v>
      </c>
    </row>
    <row r="60">
      <c r="A60" s="4">
        <v>3.51297083E8</v>
      </c>
      <c r="B60" s="4">
        <v>11.0</v>
      </c>
      <c r="C60" s="6">
        <v>46227.74528935185</v>
      </c>
      <c r="D60" s="5" t="s">
        <v>118</v>
      </c>
      <c r="E60" s="5" t="s">
        <v>119</v>
      </c>
      <c r="F60" s="5" t="s">
        <v>90</v>
      </c>
      <c r="H60" s="5">
        <v>1721.0</v>
      </c>
      <c r="I60" s="5" t="s">
        <v>174</v>
      </c>
      <c r="J60" s="4">
        <v>1.0</v>
      </c>
      <c r="K60" s="5" t="s">
        <v>121</v>
      </c>
      <c r="L60" s="5" t="s">
        <v>122</v>
      </c>
      <c r="M60" s="5" t="s">
        <v>175</v>
      </c>
    </row>
    <row r="61">
      <c r="A61" s="4">
        <v>3.51297083E8</v>
      </c>
      <c r="B61" s="4">
        <v>11.0</v>
      </c>
      <c r="C61" s="6">
        <v>46227.74528935185</v>
      </c>
      <c r="D61" s="5" t="s">
        <v>118</v>
      </c>
      <c r="E61" s="5" t="s">
        <v>119</v>
      </c>
      <c r="F61" s="5" t="s">
        <v>90</v>
      </c>
      <c r="H61" s="5">
        <v>1968.0</v>
      </c>
      <c r="I61" s="5" t="s">
        <v>176</v>
      </c>
      <c r="J61" s="4">
        <v>2.0</v>
      </c>
      <c r="K61" s="5" t="s">
        <v>121</v>
      </c>
      <c r="L61" s="5" t="s">
        <v>122</v>
      </c>
      <c r="M61" s="5" t="s">
        <v>177</v>
      </c>
    </row>
    <row r="62">
      <c r="A62" s="4">
        <v>3.51297083E8</v>
      </c>
      <c r="B62" s="4">
        <v>11.0</v>
      </c>
      <c r="C62" s="6">
        <v>46227.74528935185</v>
      </c>
      <c r="D62" s="5" t="s">
        <v>118</v>
      </c>
      <c r="E62" s="5" t="s">
        <v>119</v>
      </c>
      <c r="F62" s="5" t="s">
        <v>90</v>
      </c>
      <c r="H62" s="5">
        <v>2033.0</v>
      </c>
      <c r="I62" s="5" t="s">
        <v>179</v>
      </c>
      <c r="J62" s="4">
        <v>1.0</v>
      </c>
      <c r="K62" s="5" t="s">
        <v>121</v>
      </c>
      <c r="L62" s="5" t="s">
        <v>122</v>
      </c>
      <c r="M62" s="5" t="s">
        <v>180</v>
      </c>
    </row>
    <row r="63">
      <c r="A63" s="4">
        <v>3.51297083E8</v>
      </c>
      <c r="B63" s="4">
        <v>11.0</v>
      </c>
      <c r="C63" s="6">
        <v>46227.74528935185</v>
      </c>
      <c r="D63" s="5" t="s">
        <v>118</v>
      </c>
      <c r="E63" s="5" t="s">
        <v>119</v>
      </c>
      <c r="F63" s="5" t="s">
        <v>90</v>
      </c>
      <c r="H63" s="5">
        <v>1933.0</v>
      </c>
      <c r="I63" s="5" t="s">
        <v>181</v>
      </c>
      <c r="J63" s="4">
        <v>1.0</v>
      </c>
      <c r="K63" s="5" t="s">
        <v>121</v>
      </c>
      <c r="L63" s="5" t="s">
        <v>122</v>
      </c>
      <c r="M63" s="5" t="s">
        <v>182</v>
      </c>
    </row>
    <row r="64">
      <c r="A64" s="4">
        <v>3.51297083E8</v>
      </c>
      <c r="B64" s="4">
        <v>11.0</v>
      </c>
      <c r="C64" s="6">
        <v>46227.74528935185</v>
      </c>
      <c r="D64" s="5" t="s">
        <v>118</v>
      </c>
      <c r="E64" s="5" t="s">
        <v>119</v>
      </c>
      <c r="F64" s="5" t="s">
        <v>90</v>
      </c>
      <c r="H64" s="5">
        <v>1440.0</v>
      </c>
      <c r="I64" s="5" t="s">
        <v>184</v>
      </c>
      <c r="J64" s="4">
        <v>1.0</v>
      </c>
      <c r="K64" s="5" t="s">
        <v>121</v>
      </c>
      <c r="L64" s="5" t="s">
        <v>122</v>
      </c>
      <c r="M64" s="5" t="s">
        <v>185</v>
      </c>
    </row>
    <row r="65">
      <c r="A65" s="4">
        <v>3.51297083E8</v>
      </c>
      <c r="B65" s="4">
        <v>12.0</v>
      </c>
      <c r="C65" s="6">
        <v>46227.74685185185</v>
      </c>
      <c r="D65" s="5" t="s">
        <v>187</v>
      </c>
      <c r="E65" s="5" t="s">
        <v>119</v>
      </c>
      <c r="F65" s="5" t="s">
        <v>20</v>
      </c>
      <c r="H65" s="5" t="s">
        <v>188</v>
      </c>
      <c r="I65" s="5" t="s">
        <v>189</v>
      </c>
      <c r="J65" s="4">
        <v>2.0</v>
      </c>
      <c r="K65" s="5" t="s">
        <v>190</v>
      </c>
      <c r="L65" s="5" t="s">
        <v>122</v>
      </c>
      <c r="M65" s="5" t="s">
        <v>191</v>
      </c>
    </row>
    <row r="66">
      <c r="A66" s="4">
        <v>3.51297083E8</v>
      </c>
      <c r="B66" s="4">
        <v>12.0</v>
      </c>
      <c r="C66" s="6">
        <v>46227.74685185185</v>
      </c>
      <c r="D66" s="5" t="s">
        <v>187</v>
      </c>
      <c r="E66" s="5" t="s">
        <v>119</v>
      </c>
      <c r="F66" s="5" t="s">
        <v>20</v>
      </c>
      <c r="H66" s="5" t="s">
        <v>192</v>
      </c>
      <c r="I66" s="5" t="s">
        <v>194</v>
      </c>
      <c r="J66" s="4">
        <v>2.0</v>
      </c>
      <c r="K66" s="5" t="s">
        <v>190</v>
      </c>
      <c r="L66" s="5" t="s">
        <v>122</v>
      </c>
      <c r="M66" s="5" t="s">
        <v>195</v>
      </c>
    </row>
    <row r="67">
      <c r="A67" s="4">
        <v>3.51297083E8</v>
      </c>
      <c r="B67" s="4">
        <v>12.0</v>
      </c>
      <c r="C67" s="6">
        <v>46227.74685185185</v>
      </c>
      <c r="D67" s="5" t="s">
        <v>187</v>
      </c>
      <c r="E67" s="5" t="s">
        <v>119</v>
      </c>
      <c r="F67" s="5" t="s">
        <v>20</v>
      </c>
      <c r="H67" s="5" t="s">
        <v>196</v>
      </c>
      <c r="I67" s="5" t="s">
        <v>197</v>
      </c>
      <c r="J67" s="4">
        <v>2.0</v>
      </c>
      <c r="K67" s="5" t="s">
        <v>190</v>
      </c>
      <c r="L67" s="5" t="s">
        <v>122</v>
      </c>
      <c r="M67" s="5" t="s">
        <v>198</v>
      </c>
    </row>
    <row r="68">
      <c r="A68" s="4">
        <v>3.51297083E8</v>
      </c>
      <c r="B68" s="4">
        <v>12.0</v>
      </c>
      <c r="C68" s="6">
        <v>46227.74685185185</v>
      </c>
      <c r="D68" s="5" t="s">
        <v>187</v>
      </c>
      <c r="E68" s="5" t="s">
        <v>119</v>
      </c>
      <c r="F68" s="5" t="s">
        <v>20</v>
      </c>
      <c r="H68" s="5" t="s">
        <v>199</v>
      </c>
      <c r="I68" s="5" t="s">
        <v>200</v>
      </c>
      <c r="J68" s="4">
        <v>1.0</v>
      </c>
      <c r="K68" s="5" t="s">
        <v>190</v>
      </c>
      <c r="L68" s="5" t="s">
        <v>122</v>
      </c>
      <c r="M68" s="5" t="s">
        <v>202</v>
      </c>
    </row>
    <row r="69">
      <c r="A69" s="4">
        <v>3.51297083E8</v>
      </c>
      <c r="B69" s="4">
        <v>12.0</v>
      </c>
      <c r="C69" s="6">
        <v>46227.74685185185</v>
      </c>
      <c r="D69" s="5" t="s">
        <v>187</v>
      </c>
      <c r="E69" s="5" t="s">
        <v>119</v>
      </c>
      <c r="F69" s="5" t="s">
        <v>20</v>
      </c>
      <c r="H69" s="5" t="s">
        <v>203</v>
      </c>
      <c r="I69" s="5" t="s">
        <v>204</v>
      </c>
      <c r="J69" s="4">
        <v>1.0</v>
      </c>
      <c r="K69" s="5" t="s">
        <v>190</v>
      </c>
      <c r="L69" s="5" t="s">
        <v>122</v>
      </c>
      <c r="M69" s="5" t="s">
        <v>206</v>
      </c>
    </row>
    <row r="70">
      <c r="A70" s="4">
        <v>3.51297083E8</v>
      </c>
      <c r="B70" s="4">
        <v>12.0</v>
      </c>
      <c r="C70" s="6">
        <v>46227.74685185185</v>
      </c>
      <c r="D70" s="5" t="s">
        <v>187</v>
      </c>
      <c r="E70" s="5" t="s">
        <v>119</v>
      </c>
      <c r="F70" s="5" t="s">
        <v>20</v>
      </c>
      <c r="H70" s="5" t="s">
        <v>207</v>
      </c>
      <c r="I70" s="5" t="s">
        <v>208</v>
      </c>
      <c r="J70" s="4">
        <v>1.0</v>
      </c>
      <c r="K70" s="5" t="s">
        <v>190</v>
      </c>
      <c r="L70" s="5" t="s">
        <v>122</v>
      </c>
      <c r="M70" s="5" t="s">
        <v>209</v>
      </c>
    </row>
    <row r="71">
      <c r="A71" s="4">
        <v>3.51297083E8</v>
      </c>
      <c r="B71" s="4">
        <v>12.0</v>
      </c>
      <c r="C71" s="6">
        <v>46227.74685185185</v>
      </c>
      <c r="D71" s="5" t="s">
        <v>187</v>
      </c>
      <c r="E71" s="5" t="s">
        <v>119</v>
      </c>
      <c r="F71" s="5" t="s">
        <v>20</v>
      </c>
      <c r="H71" s="5" t="s">
        <v>211</v>
      </c>
      <c r="I71" s="5" t="s">
        <v>212</v>
      </c>
      <c r="J71" s="4">
        <v>1.0</v>
      </c>
      <c r="K71" s="5" t="s">
        <v>190</v>
      </c>
      <c r="L71" s="5" t="s">
        <v>122</v>
      </c>
      <c r="M71" s="5" t="s">
        <v>213</v>
      </c>
    </row>
    <row r="72">
      <c r="A72" s="4">
        <v>3.51297083E8</v>
      </c>
      <c r="B72" s="4">
        <v>12.0</v>
      </c>
      <c r="C72" s="6">
        <v>46227.74685185185</v>
      </c>
      <c r="D72" s="5" t="s">
        <v>187</v>
      </c>
      <c r="E72" s="5" t="s">
        <v>119</v>
      </c>
      <c r="F72" s="5" t="s">
        <v>20</v>
      </c>
      <c r="H72" s="5" t="s">
        <v>214</v>
      </c>
      <c r="I72" s="5" t="s">
        <v>215</v>
      </c>
      <c r="J72" s="4">
        <v>1.0</v>
      </c>
      <c r="K72" s="5" t="s">
        <v>190</v>
      </c>
      <c r="L72" s="5" t="s">
        <v>122</v>
      </c>
      <c r="M72" s="5" t="s">
        <v>216</v>
      </c>
    </row>
    <row r="73">
      <c r="A73" s="4">
        <v>3.51297083E8</v>
      </c>
      <c r="B73" s="4">
        <v>12.0</v>
      </c>
      <c r="C73" s="6">
        <v>46227.74685185185</v>
      </c>
      <c r="D73" s="5" t="s">
        <v>187</v>
      </c>
      <c r="E73" s="5" t="s">
        <v>119</v>
      </c>
      <c r="F73" s="5" t="s">
        <v>20</v>
      </c>
      <c r="H73" s="5" t="s">
        <v>217</v>
      </c>
      <c r="I73" s="5" t="s">
        <v>218</v>
      </c>
      <c r="J73" s="4">
        <v>1.0</v>
      </c>
      <c r="K73" s="5" t="s">
        <v>190</v>
      </c>
      <c r="L73" s="5" t="s">
        <v>122</v>
      </c>
      <c r="M73" s="5" t="s">
        <v>220</v>
      </c>
    </row>
    <row r="74">
      <c r="A74" s="4">
        <v>3.51297083E8</v>
      </c>
      <c r="B74" s="4">
        <v>12.0</v>
      </c>
      <c r="C74" s="6">
        <v>46227.74685185185</v>
      </c>
      <c r="D74" s="5" t="s">
        <v>187</v>
      </c>
      <c r="E74" s="5" t="s">
        <v>119</v>
      </c>
      <c r="F74" s="5" t="s">
        <v>20</v>
      </c>
      <c r="H74" s="5" t="s">
        <v>221</v>
      </c>
      <c r="I74" s="5" t="s">
        <v>222</v>
      </c>
      <c r="J74" s="4">
        <v>1.0</v>
      </c>
      <c r="K74" s="5" t="s">
        <v>190</v>
      </c>
      <c r="L74" s="5" t="s">
        <v>122</v>
      </c>
      <c r="M74" s="5" t="s">
        <v>223</v>
      </c>
    </row>
    <row r="75">
      <c r="A75" s="4">
        <v>3.51297083E8</v>
      </c>
      <c r="B75" s="4">
        <v>12.0</v>
      </c>
      <c r="C75" s="6">
        <v>46227.74685185185</v>
      </c>
      <c r="D75" s="5" t="s">
        <v>187</v>
      </c>
      <c r="E75" s="5" t="s">
        <v>119</v>
      </c>
      <c r="F75" s="5" t="s">
        <v>20</v>
      </c>
      <c r="H75" s="5" t="s">
        <v>224</v>
      </c>
      <c r="I75" s="5" t="s">
        <v>225</v>
      </c>
      <c r="J75" s="4">
        <v>1.0</v>
      </c>
      <c r="K75" s="5" t="s">
        <v>190</v>
      </c>
      <c r="L75" s="5" t="s">
        <v>122</v>
      </c>
      <c r="M75" s="5" t="s">
        <v>226</v>
      </c>
    </row>
    <row r="76">
      <c r="A76" s="4">
        <v>3.51297083E8</v>
      </c>
      <c r="B76" s="4">
        <v>12.0</v>
      </c>
      <c r="C76" s="6">
        <v>46227.74685185185</v>
      </c>
      <c r="D76" s="5" t="s">
        <v>187</v>
      </c>
      <c r="E76" s="5" t="s">
        <v>119</v>
      </c>
      <c r="F76" s="5" t="s">
        <v>20</v>
      </c>
      <c r="H76" s="5" t="s">
        <v>227</v>
      </c>
      <c r="I76" s="5" t="s">
        <v>228</v>
      </c>
      <c r="J76" s="4">
        <v>1.0</v>
      </c>
      <c r="K76" s="5" t="s">
        <v>190</v>
      </c>
      <c r="L76" s="5" t="s">
        <v>122</v>
      </c>
      <c r="M76" s="5" t="s">
        <v>230</v>
      </c>
    </row>
    <row r="77">
      <c r="A77" s="4">
        <v>3.51297083E8</v>
      </c>
      <c r="B77" s="4">
        <v>12.0</v>
      </c>
      <c r="C77" s="6">
        <v>46227.74685185185</v>
      </c>
      <c r="D77" s="5" t="s">
        <v>187</v>
      </c>
      <c r="E77" s="5" t="s">
        <v>119</v>
      </c>
      <c r="F77" s="5" t="s">
        <v>20</v>
      </c>
      <c r="H77" s="5" t="s">
        <v>231</v>
      </c>
      <c r="I77" s="5" t="s">
        <v>232</v>
      </c>
      <c r="J77" s="4">
        <v>1.0</v>
      </c>
      <c r="K77" s="5" t="s">
        <v>190</v>
      </c>
      <c r="L77" s="5" t="s">
        <v>122</v>
      </c>
      <c r="M77" s="5" t="s">
        <v>233</v>
      </c>
    </row>
    <row r="78">
      <c r="A78" s="4">
        <v>3.51297083E8</v>
      </c>
      <c r="B78" s="4">
        <v>12.0</v>
      </c>
      <c r="C78" s="6">
        <v>46227.74685185185</v>
      </c>
      <c r="D78" s="5" t="s">
        <v>187</v>
      </c>
      <c r="E78" s="5" t="s">
        <v>119</v>
      </c>
      <c r="F78" s="5" t="s">
        <v>20</v>
      </c>
      <c r="H78" s="5" t="s">
        <v>235</v>
      </c>
      <c r="I78" s="5" t="s">
        <v>236</v>
      </c>
      <c r="J78" s="4">
        <v>1.0</v>
      </c>
      <c r="K78" s="5" t="s">
        <v>190</v>
      </c>
      <c r="L78" s="5" t="s">
        <v>122</v>
      </c>
      <c r="M78" s="5" t="s">
        <v>237</v>
      </c>
    </row>
    <row r="79">
      <c r="A79" s="4">
        <v>3.51297083E8</v>
      </c>
      <c r="B79" s="4">
        <v>12.0</v>
      </c>
      <c r="C79" s="6">
        <v>46227.74685185185</v>
      </c>
      <c r="D79" s="5" t="s">
        <v>187</v>
      </c>
      <c r="E79" s="5" t="s">
        <v>119</v>
      </c>
      <c r="F79" s="5" t="s">
        <v>20</v>
      </c>
      <c r="H79" s="5" t="s">
        <v>238</v>
      </c>
      <c r="I79" s="5" t="s">
        <v>239</v>
      </c>
      <c r="J79" s="4">
        <v>1.0</v>
      </c>
      <c r="K79" s="5" t="s">
        <v>190</v>
      </c>
      <c r="L79" s="5" t="s">
        <v>122</v>
      </c>
      <c r="M79" s="5" t="s">
        <v>240</v>
      </c>
    </row>
    <row r="80">
      <c r="A80" s="4">
        <v>3.51297083E8</v>
      </c>
      <c r="B80" s="4">
        <v>12.0</v>
      </c>
      <c r="C80" s="6">
        <v>46227.74685185185</v>
      </c>
      <c r="D80" s="5" t="s">
        <v>187</v>
      </c>
      <c r="E80" s="5" t="s">
        <v>119</v>
      </c>
      <c r="F80" s="5" t="s">
        <v>20</v>
      </c>
      <c r="H80" s="5" t="s">
        <v>241</v>
      </c>
      <c r="I80" s="5" t="s">
        <v>242</v>
      </c>
      <c r="J80" s="4">
        <v>1.0</v>
      </c>
      <c r="K80" s="5" t="s">
        <v>190</v>
      </c>
      <c r="L80" s="5" t="s">
        <v>122</v>
      </c>
      <c r="M80" s="5" t="s">
        <v>244</v>
      </c>
    </row>
    <row r="81">
      <c r="A81" s="4">
        <v>3.51297083E8</v>
      </c>
      <c r="B81" s="4">
        <v>13.0</v>
      </c>
      <c r="C81" s="6">
        <v>46227.749872685185</v>
      </c>
      <c r="D81" s="5" t="s">
        <v>245</v>
      </c>
      <c r="E81" s="5" t="s">
        <v>89</v>
      </c>
      <c r="F81" s="5" t="s">
        <v>20</v>
      </c>
      <c r="L81" s="5" t="s">
        <v>21</v>
      </c>
      <c r="M81" s="5" t="s">
        <v>247</v>
      </c>
    </row>
    <row r="82">
      <c r="A82" s="4">
        <v>3.51297083E8</v>
      </c>
      <c r="B82" s="4">
        <v>13.0</v>
      </c>
      <c r="C82" s="6">
        <v>46227.749872685185</v>
      </c>
      <c r="D82" s="5" t="s">
        <v>245</v>
      </c>
      <c r="E82" s="5" t="s">
        <v>89</v>
      </c>
      <c r="F82" s="5" t="s">
        <v>20</v>
      </c>
      <c r="L82" s="5" t="s">
        <v>21</v>
      </c>
      <c r="M82" s="5" t="s">
        <v>249</v>
      </c>
    </row>
    <row r="83">
      <c r="A83" s="4">
        <v>3.51297083E8</v>
      </c>
      <c r="B83" s="4">
        <v>13.0</v>
      </c>
      <c r="C83" s="6">
        <v>46227.749872685185</v>
      </c>
      <c r="D83" s="5" t="s">
        <v>245</v>
      </c>
      <c r="E83" s="5" t="s">
        <v>89</v>
      </c>
      <c r="F83" s="5" t="s">
        <v>20</v>
      </c>
      <c r="L83" s="5" t="s">
        <v>21</v>
      </c>
      <c r="M83" s="5" t="s">
        <v>251</v>
      </c>
    </row>
    <row r="84">
      <c r="A84" s="4">
        <v>3.51297083E8</v>
      </c>
      <c r="B84" s="4">
        <v>13.0</v>
      </c>
      <c r="C84" s="6">
        <v>46227.749872685185</v>
      </c>
      <c r="D84" s="5" t="s">
        <v>245</v>
      </c>
      <c r="E84" s="5" t="s">
        <v>89</v>
      </c>
      <c r="F84" s="5" t="s">
        <v>20</v>
      </c>
      <c r="L84" s="5" t="s">
        <v>21</v>
      </c>
      <c r="M84" s="5" t="s">
        <v>252</v>
      </c>
    </row>
    <row r="85">
      <c r="A85" s="4">
        <v>3.51297083E8</v>
      </c>
      <c r="B85" s="4">
        <v>13.0</v>
      </c>
      <c r="C85" s="6">
        <v>46227.749872685185</v>
      </c>
      <c r="D85" s="5" t="s">
        <v>245</v>
      </c>
      <c r="E85" s="5" t="s">
        <v>89</v>
      </c>
      <c r="F85" s="5" t="s">
        <v>20</v>
      </c>
      <c r="L85" s="5" t="s">
        <v>21</v>
      </c>
      <c r="M85" s="5" t="s">
        <v>253</v>
      </c>
    </row>
    <row r="86">
      <c r="A86" s="4">
        <v>3.51297083E8</v>
      </c>
      <c r="B86" s="4">
        <v>13.0</v>
      </c>
      <c r="C86" s="6">
        <v>46227.749872685185</v>
      </c>
      <c r="D86" s="5" t="s">
        <v>245</v>
      </c>
      <c r="E86" s="5" t="s">
        <v>89</v>
      </c>
      <c r="F86" s="5" t="s">
        <v>20</v>
      </c>
      <c r="L86" s="5" t="s">
        <v>21</v>
      </c>
      <c r="M86" s="5" t="s">
        <v>254</v>
      </c>
    </row>
    <row r="87">
      <c r="A87" s="4">
        <v>3.51297083E8</v>
      </c>
      <c r="B87" s="4">
        <v>13.0</v>
      </c>
      <c r="C87" s="6">
        <v>46227.749872685185</v>
      </c>
      <c r="D87" s="5" t="s">
        <v>245</v>
      </c>
      <c r="E87" s="5" t="s">
        <v>89</v>
      </c>
      <c r="F87" s="5" t="s">
        <v>20</v>
      </c>
      <c r="L87" s="5" t="s">
        <v>21</v>
      </c>
      <c r="M87" s="5" t="s">
        <v>256</v>
      </c>
    </row>
    <row r="88">
      <c r="A88" s="4">
        <v>3.51297083E8</v>
      </c>
      <c r="B88" s="4">
        <v>13.0</v>
      </c>
      <c r="C88" s="6">
        <v>46227.749872685185</v>
      </c>
      <c r="D88" s="5" t="s">
        <v>245</v>
      </c>
      <c r="E88" s="5" t="s">
        <v>89</v>
      </c>
      <c r="F88" s="5" t="s">
        <v>20</v>
      </c>
      <c r="L88" s="5" t="s">
        <v>21</v>
      </c>
      <c r="M88" s="5" t="s">
        <v>259</v>
      </c>
    </row>
    <row r="89">
      <c r="A89" s="4">
        <v>3.51297083E8</v>
      </c>
      <c r="B89" s="4">
        <v>13.0</v>
      </c>
      <c r="C89" s="6">
        <v>46227.749872685185</v>
      </c>
      <c r="D89" s="5" t="s">
        <v>245</v>
      </c>
      <c r="E89" s="5" t="s">
        <v>89</v>
      </c>
      <c r="F89" s="5" t="s">
        <v>20</v>
      </c>
      <c r="L89" s="5" t="s">
        <v>21</v>
      </c>
      <c r="M89" s="5" t="s">
        <v>261</v>
      </c>
    </row>
    <row r="90">
      <c r="A90" s="4">
        <v>3.51297083E8</v>
      </c>
      <c r="B90" s="4">
        <v>13.0</v>
      </c>
      <c r="C90" s="6">
        <v>46227.749872685185</v>
      </c>
      <c r="D90" s="5" t="s">
        <v>245</v>
      </c>
      <c r="E90" s="5" t="s">
        <v>89</v>
      </c>
      <c r="F90" s="5" t="s">
        <v>20</v>
      </c>
      <c r="L90" s="5" t="s">
        <v>21</v>
      </c>
      <c r="M90" s="5" t="s">
        <v>262</v>
      </c>
    </row>
    <row r="91">
      <c r="A91" s="4">
        <v>3.51297083E8</v>
      </c>
      <c r="B91" s="4">
        <v>13.0</v>
      </c>
      <c r="C91" s="6">
        <v>46227.749872685185</v>
      </c>
      <c r="D91" s="5" t="s">
        <v>245</v>
      </c>
      <c r="E91" s="5" t="s">
        <v>89</v>
      </c>
      <c r="F91" s="5" t="s">
        <v>20</v>
      </c>
      <c r="L91" s="5" t="s">
        <v>21</v>
      </c>
      <c r="M91" s="5" t="s">
        <v>264</v>
      </c>
    </row>
    <row r="92">
      <c r="A92" s="4">
        <v>3.51297083E8</v>
      </c>
      <c r="B92" s="4">
        <v>13.0</v>
      </c>
      <c r="C92" s="6">
        <v>46227.749872685185</v>
      </c>
      <c r="D92" s="5" t="s">
        <v>245</v>
      </c>
      <c r="E92" s="5" t="s">
        <v>89</v>
      </c>
      <c r="F92" s="5" t="s">
        <v>20</v>
      </c>
      <c r="L92" s="5" t="s">
        <v>21</v>
      </c>
      <c r="M92" s="5" t="s">
        <v>265</v>
      </c>
    </row>
    <row r="93">
      <c r="A93" s="4">
        <v>3.51297083E8</v>
      </c>
      <c r="B93" s="4">
        <v>13.0</v>
      </c>
      <c r="C93" s="6">
        <v>46227.749872685185</v>
      </c>
      <c r="D93" s="5" t="s">
        <v>245</v>
      </c>
      <c r="E93" s="5" t="s">
        <v>89</v>
      </c>
      <c r="F93" s="5" t="s">
        <v>20</v>
      </c>
      <c r="L93" s="5" t="s">
        <v>21</v>
      </c>
      <c r="M93" s="5" t="s">
        <v>266</v>
      </c>
    </row>
    <row r="94">
      <c r="A94" s="4">
        <v>3.51297083E8</v>
      </c>
      <c r="B94" s="4">
        <v>13.0</v>
      </c>
      <c r="C94" s="6">
        <v>46227.749872685185</v>
      </c>
      <c r="D94" s="5" t="s">
        <v>245</v>
      </c>
      <c r="E94" s="5" t="s">
        <v>89</v>
      </c>
      <c r="F94" s="5" t="s">
        <v>20</v>
      </c>
      <c r="L94" s="5" t="s">
        <v>21</v>
      </c>
      <c r="M94" s="5" t="s">
        <v>268</v>
      </c>
    </row>
    <row r="95">
      <c r="A95" s="4">
        <v>3.51297083E8</v>
      </c>
      <c r="B95" s="4">
        <v>13.0</v>
      </c>
      <c r="C95" s="6">
        <v>46227.749872685185</v>
      </c>
      <c r="D95" s="5" t="s">
        <v>245</v>
      </c>
      <c r="E95" s="5" t="s">
        <v>89</v>
      </c>
      <c r="F95" s="5" t="s">
        <v>20</v>
      </c>
      <c r="L95" s="5" t="s">
        <v>21</v>
      </c>
      <c r="M95" s="5" t="s">
        <v>269</v>
      </c>
    </row>
    <row r="96">
      <c r="A96" s="4">
        <v>3.51297083E8</v>
      </c>
      <c r="B96" s="4">
        <v>13.0</v>
      </c>
      <c r="C96" s="6">
        <v>46227.749872685185</v>
      </c>
      <c r="D96" s="5" t="s">
        <v>245</v>
      </c>
      <c r="E96" s="5" t="s">
        <v>89</v>
      </c>
      <c r="F96" s="5" t="s">
        <v>20</v>
      </c>
      <c r="L96" s="5" t="s">
        <v>21</v>
      </c>
      <c r="M96" s="5" t="s">
        <v>270</v>
      </c>
    </row>
    <row r="97">
      <c r="A97" s="4">
        <v>3.51297083E8</v>
      </c>
      <c r="B97" s="4">
        <v>13.0</v>
      </c>
      <c r="C97" s="6">
        <v>46227.749872685185</v>
      </c>
      <c r="D97" s="5" t="s">
        <v>245</v>
      </c>
      <c r="E97" s="5" t="s">
        <v>89</v>
      </c>
      <c r="F97" s="5" t="s">
        <v>20</v>
      </c>
      <c r="L97" s="5" t="s">
        <v>21</v>
      </c>
      <c r="M97" s="5" t="s">
        <v>271</v>
      </c>
    </row>
    <row r="98">
      <c r="A98" s="4">
        <v>3.51297083E8</v>
      </c>
      <c r="B98" s="4">
        <v>14.0</v>
      </c>
      <c r="C98" s="6">
        <v>46227.75263888889</v>
      </c>
      <c r="D98" s="5" t="s">
        <v>187</v>
      </c>
      <c r="E98" s="5" t="s">
        <v>119</v>
      </c>
      <c r="F98" s="5" t="s">
        <v>20</v>
      </c>
      <c r="H98" s="5" t="s">
        <v>188</v>
      </c>
      <c r="I98" s="5" t="s">
        <v>189</v>
      </c>
      <c r="J98" s="4">
        <v>2.0</v>
      </c>
      <c r="K98" s="5" t="s">
        <v>190</v>
      </c>
      <c r="L98" s="5" t="s">
        <v>122</v>
      </c>
      <c r="M98" s="5" t="s">
        <v>191</v>
      </c>
    </row>
    <row r="99">
      <c r="A99" s="4">
        <v>3.51297083E8</v>
      </c>
      <c r="B99" s="4">
        <v>14.0</v>
      </c>
      <c r="C99" s="6">
        <v>46227.75263888889</v>
      </c>
      <c r="D99" s="5" t="s">
        <v>187</v>
      </c>
      <c r="E99" s="5" t="s">
        <v>119</v>
      </c>
      <c r="F99" s="5" t="s">
        <v>20</v>
      </c>
      <c r="H99" s="5" t="s">
        <v>192</v>
      </c>
      <c r="I99" s="5" t="s">
        <v>194</v>
      </c>
      <c r="J99" s="4">
        <v>2.0</v>
      </c>
      <c r="K99" s="5" t="s">
        <v>190</v>
      </c>
      <c r="L99" s="5" t="s">
        <v>122</v>
      </c>
      <c r="M99" s="5" t="s">
        <v>195</v>
      </c>
    </row>
    <row r="100">
      <c r="A100" s="4">
        <v>3.51297083E8</v>
      </c>
      <c r="B100" s="4">
        <v>14.0</v>
      </c>
      <c r="C100" s="6">
        <v>46227.75263888889</v>
      </c>
      <c r="D100" s="5" t="s">
        <v>187</v>
      </c>
      <c r="E100" s="5" t="s">
        <v>119</v>
      </c>
      <c r="F100" s="5" t="s">
        <v>20</v>
      </c>
      <c r="H100" s="5" t="s">
        <v>196</v>
      </c>
      <c r="I100" s="5" t="s">
        <v>197</v>
      </c>
      <c r="J100" s="4">
        <v>2.0</v>
      </c>
      <c r="K100" s="5" t="s">
        <v>190</v>
      </c>
      <c r="L100" s="5" t="s">
        <v>122</v>
      </c>
      <c r="M100" s="5" t="s">
        <v>198</v>
      </c>
    </row>
    <row r="101">
      <c r="A101" s="4">
        <v>3.51297083E8</v>
      </c>
      <c r="B101" s="4">
        <v>14.0</v>
      </c>
      <c r="C101" s="6">
        <v>46227.75263888889</v>
      </c>
      <c r="D101" s="5" t="s">
        <v>187</v>
      </c>
      <c r="E101" s="5" t="s">
        <v>119</v>
      </c>
      <c r="F101" s="5" t="s">
        <v>20</v>
      </c>
      <c r="H101" s="5" t="s">
        <v>199</v>
      </c>
      <c r="I101" s="5" t="s">
        <v>200</v>
      </c>
      <c r="J101" s="4">
        <v>1.0</v>
      </c>
      <c r="K101" s="5" t="s">
        <v>190</v>
      </c>
      <c r="L101" s="5" t="s">
        <v>122</v>
      </c>
      <c r="M101" s="5" t="s">
        <v>202</v>
      </c>
    </row>
    <row r="102">
      <c r="A102" s="4">
        <v>3.51297083E8</v>
      </c>
      <c r="B102" s="4">
        <v>14.0</v>
      </c>
      <c r="C102" s="6">
        <v>46227.75263888889</v>
      </c>
      <c r="D102" s="5" t="s">
        <v>187</v>
      </c>
      <c r="E102" s="5" t="s">
        <v>119</v>
      </c>
      <c r="F102" s="5" t="s">
        <v>20</v>
      </c>
      <c r="H102" s="5" t="s">
        <v>203</v>
      </c>
      <c r="I102" s="5" t="s">
        <v>204</v>
      </c>
      <c r="J102" s="4">
        <v>1.0</v>
      </c>
      <c r="K102" s="5" t="s">
        <v>190</v>
      </c>
      <c r="L102" s="5" t="s">
        <v>122</v>
      </c>
      <c r="M102" s="5" t="s">
        <v>206</v>
      </c>
    </row>
    <row r="103">
      <c r="A103" s="4">
        <v>3.51297083E8</v>
      </c>
      <c r="B103" s="4">
        <v>14.0</v>
      </c>
      <c r="C103" s="6">
        <v>46227.75263888889</v>
      </c>
      <c r="D103" s="5" t="s">
        <v>187</v>
      </c>
      <c r="E103" s="5" t="s">
        <v>119</v>
      </c>
      <c r="F103" s="5" t="s">
        <v>20</v>
      </c>
      <c r="H103" s="5" t="s">
        <v>207</v>
      </c>
      <c r="I103" s="5" t="s">
        <v>208</v>
      </c>
      <c r="J103" s="4">
        <v>1.0</v>
      </c>
      <c r="K103" s="5" t="s">
        <v>190</v>
      </c>
      <c r="L103" s="5" t="s">
        <v>122</v>
      </c>
      <c r="M103" s="5" t="s">
        <v>209</v>
      </c>
    </row>
    <row r="104">
      <c r="A104" s="4">
        <v>3.51297083E8</v>
      </c>
      <c r="B104" s="4">
        <v>14.0</v>
      </c>
      <c r="C104" s="6">
        <v>46227.75263888889</v>
      </c>
      <c r="D104" s="5" t="s">
        <v>187</v>
      </c>
      <c r="E104" s="5" t="s">
        <v>119</v>
      </c>
      <c r="F104" s="5" t="s">
        <v>20</v>
      </c>
      <c r="H104" s="5" t="s">
        <v>211</v>
      </c>
      <c r="I104" s="5" t="s">
        <v>212</v>
      </c>
      <c r="J104" s="4">
        <v>1.0</v>
      </c>
      <c r="K104" s="5" t="s">
        <v>190</v>
      </c>
      <c r="L104" s="5" t="s">
        <v>122</v>
      </c>
      <c r="M104" s="5" t="s">
        <v>213</v>
      </c>
    </row>
    <row r="105">
      <c r="A105" s="4">
        <v>3.51297083E8</v>
      </c>
      <c r="B105" s="4">
        <v>14.0</v>
      </c>
      <c r="C105" s="6">
        <v>46227.75263888889</v>
      </c>
      <c r="D105" s="5" t="s">
        <v>187</v>
      </c>
      <c r="E105" s="5" t="s">
        <v>119</v>
      </c>
      <c r="F105" s="5" t="s">
        <v>20</v>
      </c>
      <c r="H105" s="5" t="s">
        <v>214</v>
      </c>
      <c r="I105" s="5" t="s">
        <v>215</v>
      </c>
      <c r="J105" s="4">
        <v>1.0</v>
      </c>
      <c r="K105" s="5" t="s">
        <v>190</v>
      </c>
      <c r="L105" s="5" t="s">
        <v>122</v>
      </c>
      <c r="M105" s="5" t="s">
        <v>216</v>
      </c>
    </row>
    <row r="106">
      <c r="A106" s="4">
        <v>3.51297083E8</v>
      </c>
      <c r="B106" s="4">
        <v>14.0</v>
      </c>
      <c r="C106" s="6">
        <v>46227.75263888889</v>
      </c>
      <c r="D106" s="5" t="s">
        <v>187</v>
      </c>
      <c r="E106" s="5" t="s">
        <v>119</v>
      </c>
      <c r="F106" s="5" t="s">
        <v>20</v>
      </c>
      <c r="H106" s="5" t="s">
        <v>217</v>
      </c>
      <c r="I106" s="5" t="s">
        <v>218</v>
      </c>
      <c r="J106" s="4">
        <v>1.0</v>
      </c>
      <c r="K106" s="5" t="s">
        <v>190</v>
      </c>
      <c r="L106" s="5" t="s">
        <v>122</v>
      </c>
      <c r="M106" s="5" t="s">
        <v>220</v>
      </c>
    </row>
    <row r="107">
      <c r="A107" s="4">
        <v>3.51297083E8</v>
      </c>
      <c r="B107" s="4">
        <v>14.0</v>
      </c>
      <c r="C107" s="6">
        <v>46227.75263888889</v>
      </c>
      <c r="D107" s="5" t="s">
        <v>187</v>
      </c>
      <c r="E107" s="5" t="s">
        <v>119</v>
      </c>
      <c r="F107" s="5" t="s">
        <v>20</v>
      </c>
      <c r="H107" s="5" t="s">
        <v>221</v>
      </c>
      <c r="I107" s="5" t="s">
        <v>222</v>
      </c>
      <c r="J107" s="4">
        <v>1.0</v>
      </c>
      <c r="K107" s="5" t="s">
        <v>190</v>
      </c>
      <c r="L107" s="5" t="s">
        <v>122</v>
      </c>
      <c r="M107" s="5" t="s">
        <v>223</v>
      </c>
    </row>
    <row r="108">
      <c r="A108" s="4">
        <v>3.51297083E8</v>
      </c>
      <c r="B108" s="4">
        <v>14.0</v>
      </c>
      <c r="C108" s="6">
        <v>46227.75263888889</v>
      </c>
      <c r="D108" s="5" t="s">
        <v>187</v>
      </c>
      <c r="E108" s="5" t="s">
        <v>119</v>
      </c>
      <c r="F108" s="5" t="s">
        <v>20</v>
      </c>
      <c r="H108" s="5" t="s">
        <v>224</v>
      </c>
      <c r="I108" s="5" t="s">
        <v>225</v>
      </c>
      <c r="J108" s="4">
        <v>1.0</v>
      </c>
      <c r="K108" s="5" t="s">
        <v>190</v>
      </c>
      <c r="L108" s="5" t="s">
        <v>122</v>
      </c>
      <c r="M108" s="5" t="s">
        <v>226</v>
      </c>
    </row>
    <row r="109">
      <c r="A109" s="4">
        <v>3.51297083E8</v>
      </c>
      <c r="B109" s="4">
        <v>14.0</v>
      </c>
      <c r="C109" s="6">
        <v>46227.75263888889</v>
      </c>
      <c r="D109" s="5" t="s">
        <v>187</v>
      </c>
      <c r="E109" s="5" t="s">
        <v>119</v>
      </c>
      <c r="F109" s="5" t="s">
        <v>20</v>
      </c>
      <c r="H109" s="5" t="s">
        <v>227</v>
      </c>
      <c r="I109" s="5" t="s">
        <v>228</v>
      </c>
      <c r="J109" s="4">
        <v>1.0</v>
      </c>
      <c r="K109" s="5" t="s">
        <v>190</v>
      </c>
      <c r="L109" s="5" t="s">
        <v>122</v>
      </c>
      <c r="M109" s="5" t="s">
        <v>230</v>
      </c>
    </row>
    <row r="110">
      <c r="A110" s="4">
        <v>3.51297083E8</v>
      </c>
      <c r="B110" s="4">
        <v>14.0</v>
      </c>
      <c r="C110" s="6">
        <v>46227.75263888889</v>
      </c>
      <c r="D110" s="5" t="s">
        <v>187</v>
      </c>
      <c r="E110" s="5" t="s">
        <v>119</v>
      </c>
      <c r="F110" s="5" t="s">
        <v>20</v>
      </c>
      <c r="H110" s="5" t="s">
        <v>231</v>
      </c>
      <c r="I110" s="5" t="s">
        <v>232</v>
      </c>
      <c r="J110" s="4">
        <v>1.0</v>
      </c>
      <c r="K110" s="5" t="s">
        <v>190</v>
      </c>
      <c r="L110" s="5" t="s">
        <v>122</v>
      </c>
      <c r="M110" s="5" t="s">
        <v>233</v>
      </c>
    </row>
    <row r="111">
      <c r="A111" s="4">
        <v>3.51297083E8</v>
      </c>
      <c r="B111" s="4">
        <v>14.0</v>
      </c>
      <c r="C111" s="6">
        <v>46227.75263888889</v>
      </c>
      <c r="D111" s="5" t="s">
        <v>187</v>
      </c>
      <c r="E111" s="5" t="s">
        <v>119</v>
      </c>
      <c r="F111" s="5" t="s">
        <v>20</v>
      </c>
      <c r="H111" s="5" t="s">
        <v>235</v>
      </c>
      <c r="I111" s="5" t="s">
        <v>236</v>
      </c>
      <c r="J111" s="4">
        <v>1.0</v>
      </c>
      <c r="K111" s="5" t="s">
        <v>190</v>
      </c>
      <c r="L111" s="5" t="s">
        <v>122</v>
      </c>
      <c r="M111" s="5" t="s">
        <v>237</v>
      </c>
    </row>
    <row r="112">
      <c r="A112" s="4">
        <v>3.51297083E8</v>
      </c>
      <c r="B112" s="4">
        <v>14.0</v>
      </c>
      <c r="C112" s="6">
        <v>46227.75263888889</v>
      </c>
      <c r="D112" s="5" t="s">
        <v>187</v>
      </c>
      <c r="E112" s="5" t="s">
        <v>119</v>
      </c>
      <c r="F112" s="5" t="s">
        <v>20</v>
      </c>
      <c r="H112" s="5" t="s">
        <v>238</v>
      </c>
      <c r="I112" s="5" t="s">
        <v>239</v>
      </c>
      <c r="J112" s="4">
        <v>1.0</v>
      </c>
      <c r="K112" s="5" t="s">
        <v>190</v>
      </c>
      <c r="L112" s="5" t="s">
        <v>122</v>
      </c>
      <c r="M112" s="5" t="s">
        <v>240</v>
      </c>
    </row>
    <row r="113">
      <c r="A113" s="4">
        <v>3.51297083E8</v>
      </c>
      <c r="B113" s="4">
        <v>14.0</v>
      </c>
      <c r="C113" s="6">
        <v>46227.75263888889</v>
      </c>
      <c r="D113" s="5" t="s">
        <v>187</v>
      </c>
      <c r="E113" s="5" t="s">
        <v>119</v>
      </c>
      <c r="F113" s="5" t="s">
        <v>20</v>
      </c>
      <c r="H113" s="5" t="s">
        <v>241</v>
      </c>
      <c r="I113" s="5" t="s">
        <v>242</v>
      </c>
      <c r="J113" s="4">
        <v>1.0</v>
      </c>
      <c r="K113" s="5" t="s">
        <v>190</v>
      </c>
      <c r="L113" s="5" t="s">
        <v>122</v>
      </c>
      <c r="M113" s="5" t="s">
        <v>244</v>
      </c>
    </row>
    <row r="114">
      <c r="A114" s="4">
        <v>3.51297083E8</v>
      </c>
      <c r="B114" s="4">
        <v>14.0</v>
      </c>
      <c r="C114" s="6">
        <v>46227.75263888889</v>
      </c>
      <c r="D114" s="5" t="s">
        <v>187</v>
      </c>
      <c r="E114" s="5" t="s">
        <v>119</v>
      </c>
      <c r="F114" s="5" t="s">
        <v>20</v>
      </c>
      <c r="H114" s="5" t="s">
        <v>282</v>
      </c>
      <c r="I114" s="5" t="s">
        <v>284</v>
      </c>
      <c r="J114" s="4">
        <v>1.0</v>
      </c>
      <c r="K114" s="5" t="s">
        <v>285</v>
      </c>
      <c r="L114" s="5" t="s">
        <v>122</v>
      </c>
      <c r="M114" s="5" t="s">
        <v>286</v>
      </c>
    </row>
    <row r="115">
      <c r="A115" s="4">
        <v>3.51297083E8</v>
      </c>
      <c r="B115" s="4">
        <v>14.0</v>
      </c>
      <c r="C115" s="6">
        <v>46227.75263888889</v>
      </c>
      <c r="D115" s="5" t="s">
        <v>187</v>
      </c>
      <c r="E115" s="5" t="s">
        <v>119</v>
      </c>
      <c r="F115" s="5" t="s">
        <v>20</v>
      </c>
      <c r="H115" s="5" t="s">
        <v>235</v>
      </c>
      <c r="I115" s="5" t="s">
        <v>236</v>
      </c>
      <c r="J115" s="4">
        <v>1.0</v>
      </c>
      <c r="K115" s="5" t="s">
        <v>285</v>
      </c>
      <c r="L115" s="5" t="s">
        <v>122</v>
      </c>
      <c r="M115" s="5" t="s">
        <v>287</v>
      </c>
    </row>
    <row r="116">
      <c r="A116" s="4">
        <v>3.51297083E8</v>
      </c>
      <c r="B116" s="4">
        <v>14.0</v>
      </c>
      <c r="C116" s="6">
        <v>46227.75263888889</v>
      </c>
      <c r="D116" s="5" t="s">
        <v>187</v>
      </c>
      <c r="E116" s="5" t="s">
        <v>119</v>
      </c>
      <c r="F116" s="5" t="s">
        <v>20</v>
      </c>
      <c r="H116" s="5" t="s">
        <v>238</v>
      </c>
      <c r="I116" s="5" t="s">
        <v>239</v>
      </c>
      <c r="J116" s="4">
        <v>2.0</v>
      </c>
      <c r="K116" s="5" t="s">
        <v>285</v>
      </c>
      <c r="L116" s="5" t="s">
        <v>122</v>
      </c>
      <c r="M116" s="5" t="s">
        <v>289</v>
      </c>
    </row>
    <row r="117">
      <c r="A117" s="4">
        <v>3.51297083E8</v>
      </c>
      <c r="B117" s="4">
        <v>15.0</v>
      </c>
      <c r="C117" s="6">
        <v>46227.76219907407</v>
      </c>
      <c r="D117" s="5" t="s">
        <v>275</v>
      </c>
      <c r="E117" s="5" t="s">
        <v>29</v>
      </c>
      <c r="F117" s="5" t="s">
        <v>20</v>
      </c>
      <c r="L117" s="5" t="s">
        <v>21</v>
      </c>
      <c r="M117" s="5" t="s">
        <v>290</v>
      </c>
    </row>
    <row r="118">
      <c r="A118" s="4">
        <v>3.51297083E8</v>
      </c>
      <c r="B118" s="4">
        <v>15.0</v>
      </c>
      <c r="C118" s="6">
        <v>46227.76219907407</v>
      </c>
      <c r="D118" s="5" t="s">
        <v>275</v>
      </c>
      <c r="E118" s="5" t="s">
        <v>29</v>
      </c>
      <c r="F118" s="5" t="s">
        <v>20</v>
      </c>
      <c r="L118" s="5" t="s">
        <v>21</v>
      </c>
      <c r="M118" s="5" t="s">
        <v>291</v>
      </c>
    </row>
    <row r="119">
      <c r="A119" s="4">
        <v>3.51297083E8</v>
      </c>
      <c r="B119" s="4">
        <v>16.0</v>
      </c>
      <c r="C119" s="6">
        <v>46227.773148148146</v>
      </c>
      <c r="D119" s="5" t="s">
        <v>278</v>
      </c>
      <c r="E119" s="5" t="s">
        <v>277</v>
      </c>
      <c r="F119" s="5" t="s">
        <v>20</v>
      </c>
      <c r="L119" s="5" t="s">
        <v>21</v>
      </c>
      <c r="M119" s="5" t="s">
        <v>293</v>
      </c>
    </row>
    <row r="120">
      <c r="A120" s="4">
        <v>3.51297083E8</v>
      </c>
      <c r="B120" s="4">
        <v>16.0</v>
      </c>
      <c r="C120" s="6">
        <v>46227.773148148146</v>
      </c>
      <c r="D120" s="5" t="s">
        <v>278</v>
      </c>
      <c r="E120" s="5" t="s">
        <v>277</v>
      </c>
      <c r="F120" s="5" t="s">
        <v>20</v>
      </c>
      <c r="L120" s="5" t="s">
        <v>21</v>
      </c>
      <c r="M120" s="5" t="s">
        <v>294</v>
      </c>
    </row>
    <row r="121">
      <c r="A121" s="4">
        <v>3.51297083E8</v>
      </c>
      <c r="B121" s="4">
        <v>16.0</v>
      </c>
      <c r="C121" s="6">
        <v>46227.773148148146</v>
      </c>
      <c r="D121" s="5" t="s">
        <v>278</v>
      </c>
      <c r="E121" s="5" t="s">
        <v>277</v>
      </c>
      <c r="F121" s="5" t="s">
        <v>20</v>
      </c>
      <c r="L121" s="5" t="s">
        <v>21</v>
      </c>
      <c r="M121" s="5" t="s">
        <v>296</v>
      </c>
    </row>
    <row r="122">
      <c r="A122" s="4">
        <v>3.51297083E8</v>
      </c>
      <c r="B122" s="4">
        <v>16.0</v>
      </c>
      <c r="C122" s="6">
        <v>46227.773148148146</v>
      </c>
      <c r="D122" s="5" t="s">
        <v>278</v>
      </c>
      <c r="E122" s="5" t="s">
        <v>277</v>
      </c>
      <c r="F122" s="5" t="s">
        <v>20</v>
      </c>
      <c r="L122" s="5" t="s">
        <v>21</v>
      </c>
      <c r="M122" s="5" t="s">
        <v>297</v>
      </c>
    </row>
    <row r="123">
      <c r="A123" s="4">
        <v>3.51297083E8</v>
      </c>
      <c r="B123" s="4">
        <v>16.0</v>
      </c>
      <c r="C123" s="6">
        <v>46227.773148148146</v>
      </c>
      <c r="D123" s="5" t="s">
        <v>278</v>
      </c>
      <c r="E123" s="5" t="s">
        <v>277</v>
      </c>
      <c r="F123" s="5" t="s">
        <v>20</v>
      </c>
      <c r="L123" s="5" t="s">
        <v>21</v>
      </c>
      <c r="M123" s="5" t="s">
        <v>298</v>
      </c>
    </row>
    <row r="124">
      <c r="A124" s="4">
        <v>3.51297083E8</v>
      </c>
      <c r="B124" s="4">
        <v>16.0</v>
      </c>
      <c r="C124" s="6">
        <v>46227.773148148146</v>
      </c>
      <c r="D124" s="5" t="s">
        <v>278</v>
      </c>
      <c r="E124" s="5" t="s">
        <v>277</v>
      </c>
      <c r="F124" s="5" t="s">
        <v>20</v>
      </c>
      <c r="L124" s="5" t="s">
        <v>21</v>
      </c>
      <c r="M124" s="5" t="s">
        <v>299</v>
      </c>
    </row>
    <row r="125">
      <c r="A125" s="4">
        <v>3.51297083E8</v>
      </c>
      <c r="B125" s="4">
        <v>16.0</v>
      </c>
      <c r="C125" s="6">
        <v>46227.773148148146</v>
      </c>
      <c r="D125" s="5" t="s">
        <v>278</v>
      </c>
      <c r="E125" s="5" t="s">
        <v>277</v>
      </c>
      <c r="F125" s="5" t="s">
        <v>20</v>
      </c>
      <c r="L125" s="5" t="s">
        <v>21</v>
      </c>
      <c r="M125" s="5" t="s">
        <v>300</v>
      </c>
    </row>
    <row r="126">
      <c r="A126" s="4">
        <v>3.51297083E8</v>
      </c>
      <c r="B126" s="4">
        <v>16.0</v>
      </c>
      <c r="C126" s="6">
        <v>46227.773148148146</v>
      </c>
      <c r="D126" s="5" t="s">
        <v>278</v>
      </c>
      <c r="E126" s="5" t="s">
        <v>277</v>
      </c>
      <c r="F126" s="5" t="s">
        <v>20</v>
      </c>
      <c r="L126" s="5" t="s">
        <v>21</v>
      </c>
      <c r="M126" s="5" t="s">
        <v>301</v>
      </c>
    </row>
    <row r="127">
      <c r="A127" s="4">
        <v>3.51297083E8</v>
      </c>
      <c r="B127" s="4">
        <v>16.0</v>
      </c>
      <c r="C127" s="6">
        <v>46227.773148148146</v>
      </c>
      <c r="D127" s="5" t="s">
        <v>278</v>
      </c>
      <c r="E127" s="5" t="s">
        <v>277</v>
      </c>
      <c r="F127" s="5" t="s">
        <v>20</v>
      </c>
      <c r="L127" s="5" t="s">
        <v>21</v>
      </c>
      <c r="M127" s="5" t="s">
        <v>303</v>
      </c>
    </row>
    <row r="128">
      <c r="A128" s="4">
        <v>3.51297083E8</v>
      </c>
      <c r="B128" s="4">
        <v>16.0</v>
      </c>
      <c r="C128" s="6">
        <v>46227.773148148146</v>
      </c>
      <c r="D128" s="5" t="s">
        <v>278</v>
      </c>
      <c r="E128" s="5" t="s">
        <v>277</v>
      </c>
      <c r="F128" s="5" t="s">
        <v>20</v>
      </c>
      <c r="L128" s="5" t="s">
        <v>21</v>
      </c>
      <c r="M128" s="5" t="s">
        <v>304</v>
      </c>
    </row>
    <row r="129">
      <c r="A129" s="4">
        <v>3.51297083E8</v>
      </c>
      <c r="B129" s="4">
        <v>16.0</v>
      </c>
      <c r="C129" s="6">
        <v>46227.773148148146</v>
      </c>
      <c r="D129" s="5" t="s">
        <v>278</v>
      </c>
      <c r="E129" s="5" t="s">
        <v>277</v>
      </c>
      <c r="F129" s="5" t="s">
        <v>20</v>
      </c>
      <c r="L129" s="5" t="s">
        <v>21</v>
      </c>
      <c r="M129" s="5" t="s">
        <v>306</v>
      </c>
    </row>
    <row r="130">
      <c r="A130" s="4">
        <v>3.51297083E8</v>
      </c>
      <c r="B130" s="4">
        <v>16.0</v>
      </c>
      <c r="C130" s="6">
        <v>46227.773148148146</v>
      </c>
      <c r="D130" s="5" t="s">
        <v>278</v>
      </c>
      <c r="E130" s="5" t="s">
        <v>277</v>
      </c>
      <c r="F130" s="5" t="s">
        <v>20</v>
      </c>
      <c r="L130" s="5" t="s">
        <v>21</v>
      </c>
      <c r="M130" s="5" t="s">
        <v>307</v>
      </c>
    </row>
    <row r="131">
      <c r="A131" s="4">
        <v>3.51297083E8</v>
      </c>
      <c r="B131" s="4">
        <v>16.0</v>
      </c>
      <c r="C131" s="6">
        <v>46227.773148148146</v>
      </c>
      <c r="D131" s="5" t="s">
        <v>278</v>
      </c>
      <c r="E131" s="5" t="s">
        <v>277</v>
      </c>
      <c r="F131" s="5" t="s">
        <v>20</v>
      </c>
      <c r="L131" s="5" t="s">
        <v>21</v>
      </c>
      <c r="M131" s="5" t="s">
        <v>297</v>
      </c>
    </row>
    <row r="132">
      <c r="A132" s="4">
        <v>3.51297083E8</v>
      </c>
      <c r="B132" s="4">
        <v>16.0</v>
      </c>
      <c r="C132" s="6">
        <v>46227.773148148146</v>
      </c>
      <c r="D132" s="5" t="s">
        <v>278</v>
      </c>
      <c r="E132" s="5" t="s">
        <v>277</v>
      </c>
      <c r="F132" s="5" t="s">
        <v>20</v>
      </c>
      <c r="L132" s="5" t="s">
        <v>21</v>
      </c>
      <c r="M132" s="5" t="s">
        <v>294</v>
      </c>
    </row>
    <row r="133">
      <c r="A133" s="4">
        <v>3.51297083E8</v>
      </c>
      <c r="B133" s="4">
        <v>16.0</v>
      </c>
      <c r="C133" s="6">
        <v>46227.773148148146</v>
      </c>
      <c r="D133" s="5" t="s">
        <v>278</v>
      </c>
      <c r="E133" s="5" t="s">
        <v>277</v>
      </c>
      <c r="F133" s="5" t="s">
        <v>20</v>
      </c>
      <c r="L133" s="5" t="s">
        <v>21</v>
      </c>
      <c r="M133" s="5" t="s">
        <v>308</v>
      </c>
    </row>
    <row r="134">
      <c r="A134" s="4">
        <v>3.51297083E8</v>
      </c>
      <c r="B134" s="4">
        <v>16.0</v>
      </c>
      <c r="C134" s="6">
        <v>46227.773148148146</v>
      </c>
      <c r="D134" s="5" t="s">
        <v>278</v>
      </c>
      <c r="E134" s="5" t="s">
        <v>277</v>
      </c>
      <c r="F134" s="5" t="s">
        <v>20</v>
      </c>
      <c r="L134" s="5" t="s">
        <v>21</v>
      </c>
      <c r="M134" s="5" t="s">
        <v>309</v>
      </c>
    </row>
    <row r="135">
      <c r="A135" s="4">
        <v>3.51297083E8</v>
      </c>
      <c r="B135" s="4">
        <v>18.0</v>
      </c>
      <c r="C135" s="6">
        <v>46227.77501157407</v>
      </c>
      <c r="D135" s="5" t="s">
        <v>292</v>
      </c>
      <c r="E135" s="5" t="s">
        <v>277</v>
      </c>
      <c r="F135" s="5" t="s">
        <v>90</v>
      </c>
      <c r="L135" s="5" t="s">
        <v>21</v>
      </c>
      <c r="M135" s="5" t="s">
        <v>310</v>
      </c>
    </row>
    <row r="136">
      <c r="A136" s="4">
        <v>3.51297083E8</v>
      </c>
      <c r="B136" s="4">
        <v>18.0</v>
      </c>
      <c r="C136" s="6">
        <v>46227.77501157407</v>
      </c>
      <c r="D136" s="5" t="s">
        <v>292</v>
      </c>
      <c r="E136" s="5" t="s">
        <v>277</v>
      </c>
      <c r="F136" s="5" t="s">
        <v>90</v>
      </c>
      <c r="L136" s="5" t="s">
        <v>21</v>
      </c>
      <c r="M136" s="5" t="s">
        <v>311</v>
      </c>
    </row>
    <row r="137">
      <c r="A137" s="4">
        <v>3.51297083E8</v>
      </c>
      <c r="B137" s="4">
        <v>18.0</v>
      </c>
      <c r="C137" s="6">
        <v>46227.77501157407</v>
      </c>
      <c r="D137" s="5" t="s">
        <v>292</v>
      </c>
      <c r="E137" s="5" t="s">
        <v>277</v>
      </c>
      <c r="F137" s="5" t="s">
        <v>90</v>
      </c>
      <c r="L137" s="5" t="s">
        <v>21</v>
      </c>
      <c r="M137" s="5" t="s">
        <v>314</v>
      </c>
    </row>
    <row r="138">
      <c r="A138" s="4">
        <v>3.51297083E8</v>
      </c>
      <c r="B138" s="4">
        <v>18.0</v>
      </c>
      <c r="C138" s="6">
        <v>46227.77501157407</v>
      </c>
      <c r="D138" s="5" t="s">
        <v>292</v>
      </c>
      <c r="E138" s="5" t="s">
        <v>277</v>
      </c>
      <c r="F138" s="5" t="s">
        <v>90</v>
      </c>
      <c r="L138" s="5" t="s">
        <v>21</v>
      </c>
      <c r="M138" s="5" t="s">
        <v>315</v>
      </c>
    </row>
    <row r="139">
      <c r="A139" s="4">
        <v>3.51297083E8</v>
      </c>
      <c r="B139" s="4">
        <v>18.0</v>
      </c>
      <c r="C139" s="6">
        <v>46227.77501157407</v>
      </c>
      <c r="D139" s="5" t="s">
        <v>292</v>
      </c>
      <c r="E139" s="5" t="s">
        <v>277</v>
      </c>
      <c r="F139" s="5" t="s">
        <v>90</v>
      </c>
      <c r="L139" s="5" t="s">
        <v>21</v>
      </c>
      <c r="M139" s="5" t="s">
        <v>310</v>
      </c>
    </row>
    <row r="140">
      <c r="A140" s="4">
        <v>3.51297083E8</v>
      </c>
      <c r="B140" s="4">
        <v>18.0</v>
      </c>
      <c r="C140" s="6">
        <v>46227.77501157407</v>
      </c>
      <c r="D140" s="5" t="s">
        <v>292</v>
      </c>
      <c r="E140" s="5" t="s">
        <v>277</v>
      </c>
      <c r="F140" s="5" t="s">
        <v>90</v>
      </c>
      <c r="L140" s="5" t="s">
        <v>21</v>
      </c>
      <c r="M140" s="5" t="s">
        <v>317</v>
      </c>
    </row>
    <row r="141">
      <c r="A141" s="4">
        <v>3.51297083E8</v>
      </c>
      <c r="B141" s="4">
        <v>18.0</v>
      </c>
      <c r="C141" s="6">
        <v>46227.77501157407</v>
      </c>
      <c r="D141" s="5" t="s">
        <v>292</v>
      </c>
      <c r="E141" s="5" t="s">
        <v>277</v>
      </c>
      <c r="F141" s="5" t="s">
        <v>90</v>
      </c>
      <c r="L141" s="5" t="s">
        <v>21</v>
      </c>
      <c r="M141" s="5" t="s">
        <v>318</v>
      </c>
    </row>
    <row r="142">
      <c r="A142" s="4">
        <v>3.51297083E8</v>
      </c>
      <c r="B142" s="4">
        <v>18.0</v>
      </c>
      <c r="C142" s="6">
        <v>46227.77501157407</v>
      </c>
      <c r="D142" s="5" t="s">
        <v>292</v>
      </c>
      <c r="E142" s="5" t="s">
        <v>277</v>
      </c>
      <c r="F142" s="5" t="s">
        <v>90</v>
      </c>
      <c r="L142" s="5" t="s">
        <v>21</v>
      </c>
      <c r="M142" s="5" t="s">
        <v>319</v>
      </c>
    </row>
    <row r="143">
      <c r="A143" s="4">
        <v>3.51297083E8</v>
      </c>
      <c r="B143" s="4">
        <v>18.0</v>
      </c>
      <c r="C143" s="6">
        <v>46227.77501157407</v>
      </c>
      <c r="D143" s="5" t="s">
        <v>292</v>
      </c>
      <c r="E143" s="5" t="s">
        <v>277</v>
      </c>
      <c r="F143" s="5" t="s">
        <v>90</v>
      </c>
      <c r="L143" s="5" t="s">
        <v>21</v>
      </c>
      <c r="M143" s="5" t="s">
        <v>320</v>
      </c>
    </row>
    <row r="144">
      <c r="A144" s="4">
        <v>3.51297083E8</v>
      </c>
      <c r="B144" s="4">
        <v>18.0</v>
      </c>
      <c r="C144" s="6">
        <v>46227.77501157407</v>
      </c>
      <c r="D144" s="5" t="s">
        <v>292</v>
      </c>
      <c r="E144" s="5" t="s">
        <v>277</v>
      </c>
      <c r="F144" s="5" t="s">
        <v>90</v>
      </c>
      <c r="L144" s="5" t="s">
        <v>21</v>
      </c>
      <c r="M144" s="5" t="s">
        <v>321</v>
      </c>
    </row>
    <row r="145">
      <c r="A145" s="4">
        <v>3.51297083E8</v>
      </c>
      <c r="B145" s="4">
        <v>18.0</v>
      </c>
      <c r="C145" s="6">
        <v>46227.77501157407</v>
      </c>
      <c r="D145" s="5" t="s">
        <v>292</v>
      </c>
      <c r="E145" s="5" t="s">
        <v>277</v>
      </c>
      <c r="F145" s="5" t="s">
        <v>90</v>
      </c>
      <c r="L145" s="5" t="s">
        <v>21</v>
      </c>
      <c r="M145" s="5" t="s">
        <v>322</v>
      </c>
    </row>
    <row r="146">
      <c r="A146" s="4">
        <v>3.51297083E8</v>
      </c>
      <c r="B146" s="4">
        <v>18.0</v>
      </c>
      <c r="C146" s="6">
        <v>46227.77501157407</v>
      </c>
      <c r="D146" s="5" t="s">
        <v>292</v>
      </c>
      <c r="E146" s="5" t="s">
        <v>277</v>
      </c>
      <c r="F146" s="5" t="s">
        <v>90</v>
      </c>
      <c r="L146" s="5" t="s">
        <v>21</v>
      </c>
      <c r="M146" s="5" t="s">
        <v>323</v>
      </c>
    </row>
    <row r="147">
      <c r="A147" s="4">
        <v>3.51297083E8</v>
      </c>
      <c r="B147" s="4">
        <v>18.0</v>
      </c>
      <c r="C147" s="6">
        <v>46227.77501157407</v>
      </c>
      <c r="D147" s="5" t="s">
        <v>292</v>
      </c>
      <c r="E147" s="5" t="s">
        <v>277</v>
      </c>
      <c r="F147" s="5" t="s">
        <v>90</v>
      </c>
      <c r="L147" s="5" t="s">
        <v>21</v>
      </c>
      <c r="M147" s="5" t="s">
        <v>325</v>
      </c>
    </row>
    <row r="148">
      <c r="A148" s="4">
        <v>3.51297083E8</v>
      </c>
      <c r="B148" s="4">
        <v>18.0</v>
      </c>
      <c r="C148" s="6">
        <v>46227.77501157407</v>
      </c>
      <c r="D148" s="5" t="s">
        <v>292</v>
      </c>
      <c r="E148" s="5" t="s">
        <v>277</v>
      </c>
      <c r="F148" s="5" t="s">
        <v>90</v>
      </c>
      <c r="L148" s="5" t="s">
        <v>21</v>
      </c>
      <c r="M148" s="5" t="s">
        <v>326</v>
      </c>
    </row>
    <row r="149">
      <c r="A149" s="4">
        <v>3.51297083E8</v>
      </c>
      <c r="B149" s="4">
        <v>18.0</v>
      </c>
      <c r="C149" s="6">
        <v>46227.77501157407</v>
      </c>
      <c r="D149" s="5" t="s">
        <v>292</v>
      </c>
      <c r="E149" s="5" t="s">
        <v>277</v>
      </c>
      <c r="F149" s="5" t="s">
        <v>90</v>
      </c>
      <c r="L149" s="5" t="s">
        <v>21</v>
      </c>
      <c r="M149" s="5" t="s">
        <v>328</v>
      </c>
    </row>
    <row r="150">
      <c r="A150" s="4">
        <v>3.51297083E8</v>
      </c>
      <c r="B150" s="4">
        <v>21.0</v>
      </c>
      <c r="C150" s="6">
        <v>46227.786678240744</v>
      </c>
      <c r="D150" s="5" t="s">
        <v>324</v>
      </c>
      <c r="E150" s="5" t="s">
        <v>312</v>
      </c>
      <c r="F150" s="5" t="s">
        <v>20</v>
      </c>
      <c r="L150" s="5" t="s">
        <v>21</v>
      </c>
      <c r="M150" s="5" t="s">
        <v>330</v>
      </c>
    </row>
    <row r="151">
      <c r="A151" s="4">
        <v>3.51297083E8</v>
      </c>
      <c r="B151" s="4">
        <v>21.0</v>
      </c>
      <c r="C151" s="6">
        <v>46227.786678240744</v>
      </c>
      <c r="D151" s="5" t="s">
        <v>324</v>
      </c>
      <c r="E151" s="5" t="s">
        <v>312</v>
      </c>
      <c r="F151" s="5" t="s">
        <v>20</v>
      </c>
      <c r="L151" s="5" t="s">
        <v>21</v>
      </c>
      <c r="M151" s="5" t="s">
        <v>331</v>
      </c>
    </row>
    <row r="152">
      <c r="A152" s="4">
        <v>3.51297083E8</v>
      </c>
      <c r="B152" s="4">
        <v>21.0</v>
      </c>
      <c r="C152" s="6">
        <v>46227.786678240744</v>
      </c>
      <c r="D152" s="5" t="s">
        <v>324</v>
      </c>
      <c r="E152" s="5" t="s">
        <v>312</v>
      </c>
      <c r="F152" s="5" t="s">
        <v>20</v>
      </c>
      <c r="L152" s="5" t="s">
        <v>21</v>
      </c>
      <c r="M152" s="5" t="s">
        <v>332</v>
      </c>
    </row>
    <row r="153">
      <c r="A153" s="4">
        <v>3.51297083E8</v>
      </c>
      <c r="B153" s="4">
        <v>21.0</v>
      </c>
      <c r="C153" s="6">
        <v>46227.786678240744</v>
      </c>
      <c r="D153" s="5" t="s">
        <v>324</v>
      </c>
      <c r="E153" s="5" t="s">
        <v>312</v>
      </c>
      <c r="F153" s="5" t="s">
        <v>20</v>
      </c>
      <c r="L153" s="5" t="s">
        <v>21</v>
      </c>
      <c r="M153" s="5" t="s">
        <v>333</v>
      </c>
    </row>
    <row r="154">
      <c r="A154" s="4">
        <v>3.51297083E8</v>
      </c>
      <c r="B154" s="4">
        <v>21.0</v>
      </c>
      <c r="C154" s="6">
        <v>46227.786678240744</v>
      </c>
      <c r="D154" s="5" t="s">
        <v>324</v>
      </c>
      <c r="E154" s="5" t="s">
        <v>312</v>
      </c>
      <c r="F154" s="5" t="s">
        <v>20</v>
      </c>
      <c r="L154" s="5" t="s">
        <v>21</v>
      </c>
      <c r="M154" s="5" t="s">
        <v>334</v>
      </c>
    </row>
    <row r="155">
      <c r="A155" s="4">
        <v>3.51297083E8</v>
      </c>
      <c r="B155" s="4">
        <v>21.0</v>
      </c>
      <c r="C155" s="6">
        <v>46227.786678240744</v>
      </c>
      <c r="D155" s="5" t="s">
        <v>324</v>
      </c>
      <c r="E155" s="5" t="s">
        <v>312</v>
      </c>
      <c r="F155" s="5" t="s">
        <v>20</v>
      </c>
      <c r="H155" s="5">
        <v>1246.0</v>
      </c>
      <c r="I155" s="5" t="s">
        <v>336</v>
      </c>
      <c r="J155" s="4">
        <v>1.0</v>
      </c>
      <c r="K155" s="5" t="s">
        <v>337</v>
      </c>
      <c r="L155" s="5" t="s">
        <v>122</v>
      </c>
      <c r="M155" s="5" t="s">
        <v>338</v>
      </c>
    </row>
    <row r="156">
      <c r="A156" s="4">
        <v>3.51297083E8</v>
      </c>
      <c r="B156" s="4">
        <v>21.0</v>
      </c>
      <c r="C156" s="6">
        <v>46227.786678240744</v>
      </c>
      <c r="D156" s="5" t="s">
        <v>324</v>
      </c>
      <c r="E156" s="5" t="s">
        <v>312</v>
      </c>
      <c r="F156" s="5" t="s">
        <v>20</v>
      </c>
      <c r="H156" s="5">
        <v>1126.0</v>
      </c>
      <c r="I156" s="5" t="s">
        <v>339</v>
      </c>
      <c r="J156" s="4">
        <v>1.0</v>
      </c>
      <c r="K156" s="5" t="s">
        <v>337</v>
      </c>
      <c r="L156" s="5" t="s">
        <v>122</v>
      </c>
      <c r="M156" s="5" t="s">
        <v>340</v>
      </c>
    </row>
    <row r="157">
      <c r="A157" s="4">
        <v>3.51297083E8</v>
      </c>
      <c r="B157" s="4">
        <v>21.0</v>
      </c>
      <c r="C157" s="6">
        <v>46227.786678240744</v>
      </c>
      <c r="D157" s="5" t="s">
        <v>324</v>
      </c>
      <c r="E157" s="5" t="s">
        <v>312</v>
      </c>
      <c r="F157" s="5" t="s">
        <v>20</v>
      </c>
      <c r="H157" s="5">
        <v>1224.0</v>
      </c>
      <c r="I157" s="5" t="s">
        <v>341</v>
      </c>
      <c r="J157" s="4">
        <v>1.0</v>
      </c>
      <c r="K157" s="5" t="s">
        <v>337</v>
      </c>
      <c r="L157" s="5" t="s">
        <v>122</v>
      </c>
      <c r="M157" s="5" t="s">
        <v>343</v>
      </c>
    </row>
    <row r="158">
      <c r="A158" s="4">
        <v>3.51297083E8</v>
      </c>
      <c r="B158" s="4">
        <v>21.0</v>
      </c>
      <c r="C158" s="6">
        <v>46227.786678240744</v>
      </c>
      <c r="D158" s="5" t="s">
        <v>324</v>
      </c>
      <c r="E158" s="5" t="s">
        <v>312</v>
      </c>
      <c r="F158" s="5" t="s">
        <v>20</v>
      </c>
      <c r="L158" s="5" t="s">
        <v>21</v>
      </c>
      <c r="M158" s="5" t="s">
        <v>344</v>
      </c>
    </row>
    <row r="159">
      <c r="A159" s="4">
        <v>3.51297083E8</v>
      </c>
      <c r="B159" s="4">
        <v>21.0</v>
      </c>
      <c r="C159" s="6">
        <v>46227.786678240744</v>
      </c>
      <c r="D159" s="5" t="s">
        <v>324</v>
      </c>
      <c r="E159" s="5" t="s">
        <v>312</v>
      </c>
      <c r="F159" s="5" t="s">
        <v>20</v>
      </c>
      <c r="H159" s="5">
        <v>1442.0</v>
      </c>
      <c r="I159" s="5" t="s">
        <v>346</v>
      </c>
      <c r="J159" s="4">
        <v>1.0</v>
      </c>
      <c r="K159" s="5" t="s">
        <v>337</v>
      </c>
      <c r="L159" s="5" t="s">
        <v>122</v>
      </c>
      <c r="M159" s="5" t="s">
        <v>347</v>
      </c>
    </row>
    <row r="160">
      <c r="A160" s="4">
        <v>3.51297083E8</v>
      </c>
      <c r="B160" s="4">
        <v>21.0</v>
      </c>
      <c r="C160" s="6">
        <v>46227.786678240744</v>
      </c>
      <c r="D160" s="5" t="s">
        <v>324</v>
      </c>
      <c r="E160" s="5" t="s">
        <v>312</v>
      </c>
      <c r="F160" s="5" t="s">
        <v>20</v>
      </c>
      <c r="H160" s="5">
        <v>1050.0</v>
      </c>
      <c r="I160" s="5" t="s">
        <v>348</v>
      </c>
      <c r="J160" s="4">
        <v>1.0</v>
      </c>
      <c r="K160" s="5" t="s">
        <v>337</v>
      </c>
      <c r="L160" s="5" t="s">
        <v>122</v>
      </c>
      <c r="M160" s="5" t="s">
        <v>349</v>
      </c>
    </row>
    <row r="161">
      <c r="A161" s="4">
        <v>3.51297083E8</v>
      </c>
      <c r="B161" s="4">
        <v>21.0</v>
      </c>
      <c r="C161" s="6">
        <v>46227.786678240744</v>
      </c>
      <c r="D161" s="5" t="s">
        <v>324</v>
      </c>
      <c r="E161" s="5" t="s">
        <v>312</v>
      </c>
      <c r="F161" s="5" t="s">
        <v>20</v>
      </c>
      <c r="H161" s="5">
        <v>1324.0</v>
      </c>
      <c r="I161" s="5" t="s">
        <v>350</v>
      </c>
      <c r="J161" s="4">
        <v>1.0</v>
      </c>
      <c r="K161" s="5" t="s">
        <v>337</v>
      </c>
      <c r="L161" s="5" t="s">
        <v>122</v>
      </c>
      <c r="M161" s="5" t="s">
        <v>351</v>
      </c>
    </row>
    <row r="162">
      <c r="A162" s="4">
        <v>3.51297083E8</v>
      </c>
      <c r="B162" s="4">
        <v>22.0</v>
      </c>
      <c r="C162" s="6">
        <v>46227.862974537034</v>
      </c>
      <c r="D162" s="5" t="s">
        <v>302</v>
      </c>
      <c r="E162" s="5" t="s">
        <v>335</v>
      </c>
      <c r="F162" s="5" t="s">
        <v>20</v>
      </c>
      <c r="H162" s="5">
        <v>1133.0</v>
      </c>
      <c r="I162" s="5" t="s">
        <v>352</v>
      </c>
      <c r="J162" s="4">
        <v>2.0</v>
      </c>
      <c r="K162" s="5" t="s">
        <v>285</v>
      </c>
      <c r="L162" s="5" t="s">
        <v>122</v>
      </c>
      <c r="M162" s="5" t="s">
        <v>353</v>
      </c>
    </row>
    <row r="163">
      <c r="A163" s="4">
        <v>3.51297083E8</v>
      </c>
      <c r="B163" s="4">
        <v>22.0</v>
      </c>
      <c r="C163" s="6">
        <v>46227.862974537034</v>
      </c>
      <c r="D163" s="5" t="s">
        <v>302</v>
      </c>
      <c r="E163" s="5" t="s">
        <v>335</v>
      </c>
      <c r="F163" s="5" t="s">
        <v>20</v>
      </c>
      <c r="H163" s="5">
        <v>1093.0</v>
      </c>
      <c r="I163" s="5" t="s">
        <v>242</v>
      </c>
      <c r="J163" s="4">
        <v>1.0</v>
      </c>
      <c r="K163" s="5" t="s">
        <v>285</v>
      </c>
      <c r="L163" s="5" t="s">
        <v>122</v>
      </c>
      <c r="M163" s="5" t="s">
        <v>355</v>
      </c>
    </row>
    <row r="164">
      <c r="A164" s="4">
        <v>3.51297083E8</v>
      </c>
      <c r="B164" s="4">
        <v>22.0</v>
      </c>
      <c r="C164" s="6">
        <v>46227.862974537034</v>
      </c>
      <c r="D164" s="5" t="s">
        <v>302</v>
      </c>
      <c r="E164" s="5" t="s">
        <v>335</v>
      </c>
      <c r="F164" s="5" t="s">
        <v>20</v>
      </c>
      <c r="H164" s="5">
        <v>1333.0</v>
      </c>
      <c r="I164" s="5" t="s">
        <v>356</v>
      </c>
      <c r="J164" s="4">
        <v>1.0</v>
      </c>
      <c r="K164" s="5" t="s">
        <v>285</v>
      </c>
      <c r="L164" s="5" t="s">
        <v>122</v>
      </c>
      <c r="M164" s="5" t="s">
        <v>357</v>
      </c>
    </row>
    <row r="165">
      <c r="A165" s="4">
        <v>3.51297083E8</v>
      </c>
      <c r="B165" s="4">
        <v>22.0</v>
      </c>
      <c r="C165" s="6">
        <v>46227.862974537034</v>
      </c>
      <c r="D165" s="5" t="s">
        <v>302</v>
      </c>
      <c r="E165" s="5" t="s">
        <v>335</v>
      </c>
      <c r="F165" s="5" t="s">
        <v>20</v>
      </c>
      <c r="H165" s="5">
        <v>1889.0</v>
      </c>
      <c r="I165" s="5" t="s">
        <v>358</v>
      </c>
      <c r="J165" s="4">
        <v>1.0</v>
      </c>
      <c r="K165" s="5" t="s">
        <v>285</v>
      </c>
      <c r="L165" s="5" t="s">
        <v>122</v>
      </c>
      <c r="M165" s="5" t="s">
        <v>360</v>
      </c>
    </row>
    <row r="166">
      <c r="A166" s="4">
        <v>3.51297083E8</v>
      </c>
      <c r="B166" s="4">
        <v>22.0</v>
      </c>
      <c r="C166" s="6">
        <v>46227.862974537034</v>
      </c>
      <c r="D166" s="5" t="s">
        <v>302</v>
      </c>
      <c r="E166" s="5" t="s">
        <v>335</v>
      </c>
      <c r="F166" s="5" t="s">
        <v>20</v>
      </c>
      <c r="H166" s="5">
        <v>1603.0</v>
      </c>
      <c r="I166" s="5" t="s">
        <v>361</v>
      </c>
      <c r="J166" s="4">
        <v>1.0</v>
      </c>
      <c r="K166" s="5" t="s">
        <v>285</v>
      </c>
      <c r="L166" s="5" t="s">
        <v>122</v>
      </c>
      <c r="M166" s="5" t="s">
        <v>362</v>
      </c>
    </row>
    <row r="167">
      <c r="A167" s="4">
        <v>3.51297083E8</v>
      </c>
      <c r="B167" s="4">
        <v>22.0</v>
      </c>
      <c r="C167" s="6">
        <v>46227.862974537034</v>
      </c>
      <c r="D167" s="5" t="s">
        <v>302</v>
      </c>
      <c r="E167" s="5" t="s">
        <v>335</v>
      </c>
      <c r="F167" s="5" t="s">
        <v>20</v>
      </c>
      <c r="H167" s="5">
        <v>1779.0</v>
      </c>
      <c r="I167" s="5" t="s">
        <v>239</v>
      </c>
      <c r="J167" s="4">
        <v>2.0</v>
      </c>
      <c r="K167" s="5" t="s">
        <v>285</v>
      </c>
      <c r="L167" s="5" t="s">
        <v>122</v>
      </c>
      <c r="M167" s="5" t="s">
        <v>363</v>
      </c>
    </row>
    <row r="168">
      <c r="A168" s="4">
        <v>3.51297083E8</v>
      </c>
      <c r="B168" s="4">
        <v>22.0</v>
      </c>
      <c r="C168" s="6">
        <v>46227.862974537034</v>
      </c>
      <c r="D168" s="5" t="s">
        <v>302</v>
      </c>
      <c r="E168" s="5" t="s">
        <v>335</v>
      </c>
      <c r="F168" s="5" t="s">
        <v>20</v>
      </c>
      <c r="H168" s="5">
        <v>2028.0</v>
      </c>
      <c r="I168" s="5" t="s">
        <v>364</v>
      </c>
      <c r="J168" s="4">
        <v>1.0</v>
      </c>
      <c r="K168" s="5" t="s">
        <v>285</v>
      </c>
      <c r="L168" s="5" t="s">
        <v>122</v>
      </c>
      <c r="M168" s="5" t="s">
        <v>365</v>
      </c>
    </row>
    <row r="169">
      <c r="A169" s="4">
        <v>3.51297083E8</v>
      </c>
      <c r="B169" s="4">
        <v>22.0</v>
      </c>
      <c r="C169" s="6">
        <v>46227.862974537034</v>
      </c>
      <c r="D169" s="5" t="s">
        <v>302</v>
      </c>
      <c r="E169" s="5" t="s">
        <v>335</v>
      </c>
      <c r="F169" s="5" t="s">
        <v>20</v>
      </c>
      <c r="H169" s="5">
        <v>1881.0</v>
      </c>
      <c r="I169" s="5" t="s">
        <v>366</v>
      </c>
      <c r="J169" s="4">
        <v>1.0</v>
      </c>
      <c r="K169" s="5" t="s">
        <v>285</v>
      </c>
      <c r="L169" s="5" t="s">
        <v>122</v>
      </c>
      <c r="M169" s="5" t="s">
        <v>367</v>
      </c>
    </row>
    <row r="170">
      <c r="A170" s="4">
        <v>3.51297083E8</v>
      </c>
      <c r="B170" s="4">
        <v>22.0</v>
      </c>
      <c r="C170" s="6">
        <v>46227.862974537034</v>
      </c>
      <c r="D170" s="5" t="s">
        <v>302</v>
      </c>
      <c r="E170" s="5" t="s">
        <v>335</v>
      </c>
      <c r="F170" s="5" t="s">
        <v>20</v>
      </c>
      <c r="H170" s="5">
        <v>1181.0</v>
      </c>
      <c r="I170" s="5" t="s">
        <v>368</v>
      </c>
      <c r="J170" s="4">
        <v>1.0</v>
      </c>
      <c r="K170" s="5" t="s">
        <v>285</v>
      </c>
      <c r="L170" s="5" t="s">
        <v>122</v>
      </c>
      <c r="M170" s="5" t="s">
        <v>369</v>
      </c>
    </row>
    <row r="171">
      <c r="A171" s="4">
        <v>3.51297083E8</v>
      </c>
      <c r="B171" s="4">
        <v>22.0</v>
      </c>
      <c r="C171" s="6">
        <v>46227.862974537034</v>
      </c>
      <c r="D171" s="5" t="s">
        <v>302</v>
      </c>
      <c r="E171" s="5" t="s">
        <v>335</v>
      </c>
      <c r="F171" s="5" t="s">
        <v>20</v>
      </c>
      <c r="H171" s="5">
        <v>2004.0</v>
      </c>
      <c r="I171" s="5" t="s">
        <v>232</v>
      </c>
      <c r="J171" s="4">
        <v>1.0</v>
      </c>
      <c r="K171" s="5" t="s">
        <v>285</v>
      </c>
      <c r="L171" s="5" t="s">
        <v>122</v>
      </c>
      <c r="M171" s="5" t="s">
        <v>370</v>
      </c>
    </row>
    <row r="172">
      <c r="A172" s="4">
        <v>3.51297083E8</v>
      </c>
      <c r="B172" s="4">
        <v>22.0</v>
      </c>
      <c r="C172" s="6">
        <v>46227.862974537034</v>
      </c>
      <c r="D172" s="5" t="s">
        <v>302</v>
      </c>
      <c r="E172" s="5" t="s">
        <v>335</v>
      </c>
      <c r="F172" s="5" t="s">
        <v>20</v>
      </c>
      <c r="H172" s="5">
        <v>1819.0</v>
      </c>
      <c r="I172" s="5" t="s">
        <v>372</v>
      </c>
      <c r="J172" s="4">
        <v>1.0</v>
      </c>
      <c r="K172" s="5" t="s">
        <v>285</v>
      </c>
      <c r="L172" s="5" t="s">
        <v>122</v>
      </c>
      <c r="M172" s="5" t="s">
        <v>373</v>
      </c>
    </row>
    <row r="173">
      <c r="A173" s="4">
        <v>3.51297083E8</v>
      </c>
      <c r="B173" s="4">
        <v>22.0</v>
      </c>
      <c r="C173" s="6">
        <v>46227.862974537034</v>
      </c>
      <c r="D173" s="5" t="s">
        <v>302</v>
      </c>
      <c r="E173" s="5" t="s">
        <v>335</v>
      </c>
      <c r="F173" s="5" t="s">
        <v>20</v>
      </c>
      <c r="H173" s="5">
        <v>1257.0</v>
      </c>
      <c r="I173" s="5" t="s">
        <v>375</v>
      </c>
      <c r="J173" s="4">
        <v>1.0</v>
      </c>
      <c r="K173" s="5" t="s">
        <v>376</v>
      </c>
      <c r="L173" s="5" t="s">
        <v>122</v>
      </c>
      <c r="M173" s="5" t="s">
        <v>377</v>
      </c>
    </row>
    <row r="174">
      <c r="A174" s="4">
        <v>3.51297083E8</v>
      </c>
      <c r="B174" s="4">
        <v>22.0</v>
      </c>
      <c r="C174" s="6">
        <v>46227.862974537034</v>
      </c>
      <c r="D174" s="5" t="s">
        <v>302</v>
      </c>
      <c r="E174" s="5" t="s">
        <v>335</v>
      </c>
      <c r="F174" s="5" t="s">
        <v>20</v>
      </c>
      <c r="H174" s="5">
        <v>1325.0</v>
      </c>
      <c r="I174" s="5" t="s">
        <v>215</v>
      </c>
      <c r="J174" s="4">
        <v>1.0</v>
      </c>
      <c r="K174" s="5" t="s">
        <v>285</v>
      </c>
      <c r="L174" s="5" t="s">
        <v>122</v>
      </c>
      <c r="M174" s="5" t="s">
        <v>378</v>
      </c>
    </row>
    <row r="175">
      <c r="A175" s="4">
        <v>3.51297083E8</v>
      </c>
      <c r="B175" s="4">
        <v>22.0</v>
      </c>
      <c r="C175" s="6">
        <v>46227.862974537034</v>
      </c>
      <c r="D175" s="5" t="s">
        <v>302</v>
      </c>
      <c r="E175" s="5" t="s">
        <v>335</v>
      </c>
      <c r="F175" s="5" t="s">
        <v>20</v>
      </c>
      <c r="H175" s="5">
        <v>1713.0</v>
      </c>
      <c r="I175" s="5" t="s">
        <v>228</v>
      </c>
      <c r="J175" s="4">
        <v>1.0</v>
      </c>
      <c r="K175" s="5" t="s">
        <v>285</v>
      </c>
      <c r="L175" s="5" t="s">
        <v>122</v>
      </c>
      <c r="M175" s="5" t="s">
        <v>379</v>
      </c>
    </row>
    <row r="176">
      <c r="A176" s="4">
        <v>3.51297083E8</v>
      </c>
      <c r="B176" s="4">
        <v>22.0</v>
      </c>
      <c r="C176" s="6">
        <v>46227.862974537034</v>
      </c>
      <c r="D176" s="5" t="s">
        <v>302</v>
      </c>
      <c r="E176" s="5" t="s">
        <v>335</v>
      </c>
      <c r="F176" s="5" t="s">
        <v>20</v>
      </c>
      <c r="H176" s="5">
        <v>1966.0</v>
      </c>
      <c r="I176" s="5" t="s">
        <v>380</v>
      </c>
      <c r="J176" s="4">
        <v>2.0</v>
      </c>
      <c r="K176" s="5" t="s">
        <v>381</v>
      </c>
      <c r="L176" s="5" t="s">
        <v>122</v>
      </c>
      <c r="M176" s="5" t="s">
        <v>382</v>
      </c>
    </row>
    <row r="177">
      <c r="A177" s="4">
        <v>3.51297083E8</v>
      </c>
      <c r="B177" s="4">
        <v>22.0</v>
      </c>
      <c r="C177" s="6">
        <v>46227.862974537034</v>
      </c>
      <c r="D177" s="5" t="s">
        <v>302</v>
      </c>
      <c r="E177" s="5" t="s">
        <v>335</v>
      </c>
      <c r="F177" s="5" t="s">
        <v>20</v>
      </c>
      <c r="H177" s="5">
        <v>1732.0</v>
      </c>
      <c r="I177" s="5" t="s">
        <v>155</v>
      </c>
      <c r="J177" s="4">
        <v>2.0</v>
      </c>
      <c r="K177" s="5" t="s">
        <v>381</v>
      </c>
      <c r="L177" s="5" t="s">
        <v>122</v>
      </c>
      <c r="M177" s="5" t="s">
        <v>384</v>
      </c>
    </row>
    <row r="178">
      <c r="A178" s="4">
        <v>3.51297083E8</v>
      </c>
      <c r="B178" s="4">
        <v>22.0</v>
      </c>
      <c r="C178" s="6">
        <v>46227.862974537034</v>
      </c>
      <c r="D178" s="5" t="s">
        <v>302</v>
      </c>
      <c r="E178" s="5" t="s">
        <v>335</v>
      </c>
      <c r="F178" s="5" t="s">
        <v>20</v>
      </c>
      <c r="H178" s="5">
        <v>1114.0</v>
      </c>
      <c r="I178" s="5" t="s">
        <v>386</v>
      </c>
      <c r="J178" s="4">
        <v>2.0</v>
      </c>
      <c r="K178" s="5" t="s">
        <v>381</v>
      </c>
      <c r="L178" s="5" t="s">
        <v>122</v>
      </c>
      <c r="M178" s="5" t="s">
        <v>387</v>
      </c>
    </row>
    <row r="179">
      <c r="A179" s="4">
        <v>3.51297083E8</v>
      </c>
      <c r="B179" s="4">
        <v>22.0</v>
      </c>
      <c r="C179" s="6">
        <v>46227.862974537034</v>
      </c>
      <c r="D179" s="5" t="s">
        <v>302</v>
      </c>
      <c r="E179" s="5" t="s">
        <v>335</v>
      </c>
      <c r="F179" s="5" t="s">
        <v>20</v>
      </c>
      <c r="H179" s="5">
        <v>1038.0</v>
      </c>
      <c r="I179" s="5" t="s">
        <v>144</v>
      </c>
      <c r="J179" s="4">
        <v>2.0</v>
      </c>
      <c r="K179" s="5" t="s">
        <v>381</v>
      </c>
      <c r="L179" s="5" t="s">
        <v>122</v>
      </c>
      <c r="M179" s="5" t="s">
        <v>388</v>
      </c>
    </row>
    <row r="180">
      <c r="A180" s="4">
        <v>3.51297083E8</v>
      </c>
      <c r="B180" s="4">
        <v>22.0</v>
      </c>
      <c r="C180" s="6">
        <v>46227.862974537034</v>
      </c>
      <c r="D180" s="5" t="s">
        <v>302</v>
      </c>
      <c r="E180" s="5" t="s">
        <v>335</v>
      </c>
      <c r="F180" s="5" t="s">
        <v>20</v>
      </c>
      <c r="H180" s="5">
        <v>1852.0</v>
      </c>
      <c r="I180" s="5" t="s">
        <v>389</v>
      </c>
      <c r="J180" s="4">
        <v>2.0</v>
      </c>
      <c r="K180" s="5" t="s">
        <v>381</v>
      </c>
      <c r="L180" s="5" t="s">
        <v>122</v>
      </c>
      <c r="M180" s="5" t="s">
        <v>390</v>
      </c>
    </row>
    <row r="181">
      <c r="A181" s="4">
        <v>3.51297083E8</v>
      </c>
      <c r="B181" s="4">
        <v>22.0</v>
      </c>
      <c r="C181" s="6">
        <v>46227.862974537034</v>
      </c>
      <c r="D181" s="5" t="s">
        <v>302</v>
      </c>
      <c r="E181" s="5" t="s">
        <v>335</v>
      </c>
      <c r="F181" s="5" t="s">
        <v>20</v>
      </c>
      <c r="H181" s="5">
        <v>1944.0</v>
      </c>
      <c r="I181" s="5" t="s">
        <v>391</v>
      </c>
      <c r="J181" s="4">
        <v>2.0</v>
      </c>
      <c r="K181" s="5" t="s">
        <v>381</v>
      </c>
      <c r="L181" s="5" t="s">
        <v>122</v>
      </c>
      <c r="M181" s="5" t="s">
        <v>392</v>
      </c>
    </row>
    <row r="182">
      <c r="A182" s="4">
        <v>3.51297083E8</v>
      </c>
      <c r="B182" s="4">
        <v>22.0</v>
      </c>
      <c r="C182" s="6">
        <v>46227.862974537034</v>
      </c>
      <c r="D182" s="5" t="s">
        <v>302</v>
      </c>
      <c r="E182" s="5" t="s">
        <v>335</v>
      </c>
      <c r="F182" s="5" t="s">
        <v>20</v>
      </c>
      <c r="H182" s="5">
        <v>1488.0</v>
      </c>
      <c r="I182" s="5" t="s">
        <v>394</v>
      </c>
      <c r="J182" s="4">
        <v>2.0</v>
      </c>
      <c r="K182" s="5" t="s">
        <v>381</v>
      </c>
      <c r="L182" s="5" t="s">
        <v>122</v>
      </c>
      <c r="M182" s="5" t="s">
        <v>395</v>
      </c>
    </row>
    <row r="183">
      <c r="A183" s="4">
        <v>3.51297083E8</v>
      </c>
      <c r="B183" s="4">
        <v>22.0</v>
      </c>
      <c r="C183" s="6">
        <v>46227.862974537034</v>
      </c>
      <c r="D183" s="5" t="s">
        <v>302</v>
      </c>
      <c r="E183" s="5" t="s">
        <v>335</v>
      </c>
      <c r="F183" s="5" t="s">
        <v>20</v>
      </c>
      <c r="H183" s="5">
        <v>1450.0</v>
      </c>
      <c r="I183" s="5" t="s">
        <v>396</v>
      </c>
      <c r="J183" s="4">
        <v>2.0</v>
      </c>
      <c r="K183" s="5" t="s">
        <v>381</v>
      </c>
      <c r="L183" s="5" t="s">
        <v>122</v>
      </c>
      <c r="M183" s="5" t="s">
        <v>398</v>
      </c>
    </row>
    <row r="184">
      <c r="A184" s="4">
        <v>3.51297083E8</v>
      </c>
      <c r="B184" s="4">
        <v>22.0</v>
      </c>
      <c r="C184" s="6">
        <v>46227.862974537034</v>
      </c>
      <c r="D184" s="5" t="s">
        <v>302</v>
      </c>
      <c r="E184" s="5" t="s">
        <v>335</v>
      </c>
      <c r="F184" s="5" t="s">
        <v>20</v>
      </c>
      <c r="H184" s="5">
        <v>1692.0</v>
      </c>
      <c r="I184" s="5" t="s">
        <v>400</v>
      </c>
      <c r="J184" s="4">
        <v>2.0</v>
      </c>
      <c r="K184" s="5" t="s">
        <v>381</v>
      </c>
      <c r="L184" s="5" t="s">
        <v>122</v>
      </c>
      <c r="M184" s="5" t="s">
        <v>401</v>
      </c>
    </row>
    <row r="185">
      <c r="A185" s="4">
        <v>3.51297083E8</v>
      </c>
      <c r="B185" s="4">
        <v>22.0</v>
      </c>
      <c r="C185" s="6">
        <v>46227.862974537034</v>
      </c>
      <c r="D185" s="5" t="s">
        <v>302</v>
      </c>
      <c r="E185" s="5" t="s">
        <v>335</v>
      </c>
      <c r="F185" s="5" t="s">
        <v>20</v>
      </c>
      <c r="H185" s="5">
        <v>1552.0</v>
      </c>
      <c r="I185" s="5" t="s">
        <v>402</v>
      </c>
      <c r="J185" s="4">
        <v>2.0</v>
      </c>
      <c r="K185" s="5" t="s">
        <v>381</v>
      </c>
      <c r="L185" s="5" t="s">
        <v>122</v>
      </c>
      <c r="M185" s="5" t="s">
        <v>403</v>
      </c>
    </row>
    <row r="186">
      <c r="A186" s="4">
        <v>3.51297083E8</v>
      </c>
      <c r="B186" s="4">
        <v>22.0</v>
      </c>
      <c r="C186" s="6">
        <v>46227.862974537034</v>
      </c>
      <c r="D186" s="5" t="s">
        <v>302</v>
      </c>
      <c r="E186" s="5" t="s">
        <v>335</v>
      </c>
      <c r="F186" s="5" t="s">
        <v>20</v>
      </c>
      <c r="H186" s="5">
        <v>1712.0</v>
      </c>
      <c r="I186" s="5" t="s">
        <v>404</v>
      </c>
      <c r="J186" s="4">
        <v>2.0</v>
      </c>
      <c r="K186" s="5" t="s">
        <v>381</v>
      </c>
      <c r="L186" s="5" t="s">
        <v>122</v>
      </c>
      <c r="M186" s="5" t="s">
        <v>405</v>
      </c>
    </row>
    <row r="187">
      <c r="A187" s="4">
        <v>3.51297083E8</v>
      </c>
      <c r="B187" s="4">
        <v>22.0</v>
      </c>
      <c r="C187" s="6">
        <v>46227.862974537034</v>
      </c>
      <c r="D187" s="5" t="s">
        <v>302</v>
      </c>
      <c r="E187" s="5" t="s">
        <v>335</v>
      </c>
      <c r="F187" s="5" t="s">
        <v>20</v>
      </c>
      <c r="H187" s="5">
        <v>1462.0</v>
      </c>
      <c r="I187" s="5" t="s">
        <v>406</v>
      </c>
      <c r="J187" s="4">
        <v>2.0</v>
      </c>
      <c r="K187" s="5" t="s">
        <v>381</v>
      </c>
      <c r="L187" s="5" t="s">
        <v>122</v>
      </c>
      <c r="M187" s="5" t="s">
        <v>407</v>
      </c>
    </row>
    <row r="188">
      <c r="A188" s="4">
        <v>3.51297083E8</v>
      </c>
      <c r="B188" s="4">
        <v>22.0</v>
      </c>
      <c r="C188" s="6">
        <v>46227.862974537034</v>
      </c>
      <c r="D188" s="5" t="s">
        <v>302</v>
      </c>
      <c r="E188" s="5" t="s">
        <v>335</v>
      </c>
      <c r="F188" s="5" t="s">
        <v>20</v>
      </c>
      <c r="H188" s="5">
        <v>1566.0</v>
      </c>
      <c r="I188" s="5" t="s">
        <v>408</v>
      </c>
      <c r="J188" s="4">
        <v>2.0</v>
      </c>
      <c r="K188" s="5" t="s">
        <v>381</v>
      </c>
      <c r="L188" s="5" t="s">
        <v>122</v>
      </c>
      <c r="M188" s="5" t="s">
        <v>410</v>
      </c>
    </row>
    <row r="189">
      <c r="A189" s="4">
        <v>3.51297083E8</v>
      </c>
      <c r="B189" s="4">
        <v>22.0</v>
      </c>
      <c r="C189" s="6">
        <v>46227.862974537034</v>
      </c>
      <c r="D189" s="5" t="s">
        <v>302</v>
      </c>
      <c r="E189" s="5" t="s">
        <v>335</v>
      </c>
      <c r="F189" s="5" t="s">
        <v>20</v>
      </c>
      <c r="H189" s="5">
        <v>1120.0</v>
      </c>
      <c r="I189" s="5" t="s">
        <v>189</v>
      </c>
      <c r="J189" s="4">
        <v>2.0</v>
      </c>
      <c r="K189" s="5" t="s">
        <v>381</v>
      </c>
      <c r="L189" s="5" t="s">
        <v>122</v>
      </c>
      <c r="M189" s="5" t="s">
        <v>411</v>
      </c>
    </row>
    <row r="190">
      <c r="A190" s="4">
        <v>3.51297083E8</v>
      </c>
      <c r="B190" s="4">
        <v>22.0</v>
      </c>
      <c r="C190" s="6">
        <v>46227.862974537034</v>
      </c>
      <c r="D190" s="5" t="s">
        <v>302</v>
      </c>
      <c r="E190" s="5" t="s">
        <v>335</v>
      </c>
      <c r="F190" s="5" t="s">
        <v>20</v>
      </c>
      <c r="H190" s="5">
        <v>1618.0</v>
      </c>
      <c r="I190" s="5" t="s">
        <v>412</v>
      </c>
      <c r="J190" s="4">
        <v>1.0</v>
      </c>
      <c r="K190" s="5" t="s">
        <v>285</v>
      </c>
      <c r="L190" s="5" t="s">
        <v>122</v>
      </c>
      <c r="M190" s="5" t="s">
        <v>413</v>
      </c>
    </row>
    <row r="191">
      <c r="A191" s="4">
        <v>3.51297083E8</v>
      </c>
      <c r="B191" s="4">
        <v>22.0</v>
      </c>
      <c r="C191" s="6">
        <v>46227.862974537034</v>
      </c>
      <c r="D191" s="5" t="s">
        <v>302</v>
      </c>
      <c r="E191" s="5" t="s">
        <v>335</v>
      </c>
      <c r="F191" s="5" t="s">
        <v>20</v>
      </c>
      <c r="H191" s="5">
        <v>1682.0</v>
      </c>
      <c r="I191" s="5" t="s">
        <v>135</v>
      </c>
      <c r="J191" s="4">
        <v>1.0</v>
      </c>
      <c r="K191" s="5" t="s">
        <v>285</v>
      </c>
      <c r="L191" s="5" t="s">
        <v>122</v>
      </c>
      <c r="M191" s="5" t="s">
        <v>414</v>
      </c>
    </row>
    <row r="192">
      <c r="A192" s="4">
        <v>3.51297083E8</v>
      </c>
      <c r="B192" s="4">
        <v>22.0</v>
      </c>
      <c r="C192" s="6">
        <v>46227.862974537034</v>
      </c>
      <c r="D192" s="5" t="s">
        <v>302</v>
      </c>
      <c r="E192" s="5" t="s">
        <v>335</v>
      </c>
      <c r="F192" s="5" t="s">
        <v>20</v>
      </c>
      <c r="H192" s="5">
        <v>1941.0</v>
      </c>
      <c r="I192" s="5" t="s">
        <v>415</v>
      </c>
      <c r="J192" s="4">
        <v>1.0</v>
      </c>
      <c r="K192" s="5" t="s">
        <v>285</v>
      </c>
      <c r="L192" s="5" t="s">
        <v>122</v>
      </c>
      <c r="M192" s="5" t="s">
        <v>416</v>
      </c>
    </row>
    <row r="193">
      <c r="A193" s="4">
        <v>3.51297083E8</v>
      </c>
      <c r="B193" s="4">
        <v>23.0</v>
      </c>
      <c r="C193" s="6">
        <v>46227.93958333333</v>
      </c>
      <c r="D193" s="5" t="s">
        <v>280</v>
      </c>
      <c r="E193" s="5" t="s">
        <v>354</v>
      </c>
      <c r="F193" s="5" t="s">
        <v>90</v>
      </c>
      <c r="H193" s="5" t="s">
        <v>417</v>
      </c>
      <c r="I193" s="5" t="s">
        <v>352</v>
      </c>
      <c r="J193" s="4">
        <v>1.0</v>
      </c>
      <c r="K193" s="5" t="s">
        <v>418</v>
      </c>
      <c r="L193" s="5" t="s">
        <v>122</v>
      </c>
      <c r="M193" s="5" t="s">
        <v>419</v>
      </c>
    </row>
    <row r="194">
      <c r="A194" s="4">
        <v>3.51297083E8</v>
      </c>
      <c r="B194" s="4">
        <v>23.0</v>
      </c>
      <c r="C194" s="6">
        <v>46227.93958333333</v>
      </c>
      <c r="D194" s="5" t="s">
        <v>280</v>
      </c>
      <c r="E194" s="5" t="s">
        <v>354</v>
      </c>
      <c r="F194" s="5" t="s">
        <v>90</v>
      </c>
      <c r="H194" s="5" t="s">
        <v>241</v>
      </c>
      <c r="I194" s="5" t="s">
        <v>242</v>
      </c>
      <c r="J194" s="4">
        <v>1.0</v>
      </c>
      <c r="K194" s="5" t="s">
        <v>418</v>
      </c>
      <c r="L194" s="5" t="s">
        <v>122</v>
      </c>
      <c r="M194" s="5" t="s">
        <v>420</v>
      </c>
    </row>
    <row r="195">
      <c r="A195" s="4">
        <v>3.51297083E8</v>
      </c>
      <c r="B195" s="4">
        <v>23.0</v>
      </c>
      <c r="C195" s="6">
        <v>46227.93958333333</v>
      </c>
      <c r="D195" s="5" t="s">
        <v>280</v>
      </c>
      <c r="E195" s="5" t="s">
        <v>354</v>
      </c>
      <c r="F195" s="5" t="s">
        <v>90</v>
      </c>
      <c r="H195" s="5" t="s">
        <v>422</v>
      </c>
      <c r="I195" s="5" t="s">
        <v>356</v>
      </c>
      <c r="J195" s="4">
        <v>2.0</v>
      </c>
      <c r="K195" s="5" t="s">
        <v>423</v>
      </c>
      <c r="L195" s="5" t="s">
        <v>122</v>
      </c>
      <c r="M195" s="5" t="s">
        <v>424</v>
      </c>
    </row>
    <row r="196">
      <c r="A196" s="4">
        <v>3.51297083E8</v>
      </c>
      <c r="B196" s="4">
        <v>23.0</v>
      </c>
      <c r="C196" s="6">
        <v>46227.93958333333</v>
      </c>
      <c r="D196" s="5" t="s">
        <v>280</v>
      </c>
      <c r="E196" s="5" t="s">
        <v>354</v>
      </c>
      <c r="F196" s="5" t="s">
        <v>90</v>
      </c>
      <c r="H196" s="5" t="s">
        <v>426</v>
      </c>
      <c r="I196" s="5" t="s">
        <v>358</v>
      </c>
      <c r="J196" s="4">
        <v>1.0</v>
      </c>
      <c r="K196" s="5" t="s">
        <v>418</v>
      </c>
      <c r="L196" s="5" t="s">
        <v>122</v>
      </c>
      <c r="M196" s="5" t="s">
        <v>427</v>
      </c>
    </row>
    <row r="197">
      <c r="A197" s="4">
        <v>3.51297083E8</v>
      </c>
      <c r="B197" s="4">
        <v>23.0</v>
      </c>
      <c r="C197" s="6">
        <v>46227.93958333333</v>
      </c>
      <c r="D197" s="5" t="s">
        <v>280</v>
      </c>
      <c r="E197" s="5" t="s">
        <v>354</v>
      </c>
      <c r="F197" s="5" t="s">
        <v>90</v>
      </c>
      <c r="H197" s="5" t="s">
        <v>428</v>
      </c>
      <c r="I197" s="5" t="s">
        <v>361</v>
      </c>
      <c r="J197" s="4">
        <v>1.0</v>
      </c>
      <c r="K197" s="5" t="s">
        <v>418</v>
      </c>
      <c r="L197" s="5" t="s">
        <v>122</v>
      </c>
      <c r="M197" s="5" t="s">
        <v>429</v>
      </c>
    </row>
    <row r="198">
      <c r="A198" s="4">
        <v>3.51297083E8</v>
      </c>
      <c r="B198" s="4">
        <v>23.0</v>
      </c>
      <c r="C198" s="6">
        <v>46227.93958333333</v>
      </c>
      <c r="D198" s="5" t="s">
        <v>280</v>
      </c>
      <c r="E198" s="5" t="s">
        <v>354</v>
      </c>
      <c r="F198" s="5" t="s">
        <v>90</v>
      </c>
      <c r="H198" s="5" t="s">
        <v>238</v>
      </c>
      <c r="I198" s="5" t="s">
        <v>239</v>
      </c>
      <c r="J198" s="4">
        <v>2.0</v>
      </c>
      <c r="K198" s="5" t="s">
        <v>423</v>
      </c>
      <c r="L198" s="5" t="s">
        <v>122</v>
      </c>
      <c r="M198" s="5" t="s">
        <v>431</v>
      </c>
    </row>
    <row r="199">
      <c r="A199" s="4">
        <v>3.51297083E8</v>
      </c>
      <c r="B199" s="4">
        <v>23.0</v>
      </c>
      <c r="C199" s="6">
        <v>46227.93958333333</v>
      </c>
      <c r="D199" s="5" t="s">
        <v>280</v>
      </c>
      <c r="E199" s="5" t="s">
        <v>354</v>
      </c>
      <c r="F199" s="5" t="s">
        <v>90</v>
      </c>
      <c r="H199" s="5" t="s">
        <v>432</v>
      </c>
      <c r="I199" s="5" t="s">
        <v>364</v>
      </c>
      <c r="J199" s="4">
        <v>1.0</v>
      </c>
      <c r="K199" s="5" t="s">
        <v>418</v>
      </c>
      <c r="L199" s="5" t="s">
        <v>122</v>
      </c>
      <c r="M199" s="5" t="s">
        <v>433</v>
      </c>
    </row>
    <row r="200">
      <c r="A200" s="4">
        <v>3.51297083E8</v>
      </c>
      <c r="B200" s="4">
        <v>23.0</v>
      </c>
      <c r="C200" s="6">
        <v>46227.93958333333</v>
      </c>
      <c r="D200" s="5" t="s">
        <v>280</v>
      </c>
      <c r="E200" s="5" t="s">
        <v>354</v>
      </c>
      <c r="F200" s="5" t="s">
        <v>90</v>
      </c>
      <c r="H200" s="5" t="s">
        <v>434</v>
      </c>
      <c r="I200" s="5" t="s">
        <v>366</v>
      </c>
      <c r="J200" s="4">
        <v>1.0</v>
      </c>
      <c r="K200" s="5" t="s">
        <v>418</v>
      </c>
      <c r="L200" s="5" t="s">
        <v>122</v>
      </c>
      <c r="M200" s="5" t="s">
        <v>435</v>
      </c>
    </row>
    <row r="201">
      <c r="A201" s="4">
        <v>3.51297083E8</v>
      </c>
      <c r="B201" s="4">
        <v>23.0</v>
      </c>
      <c r="C201" s="6">
        <v>46227.93958333333</v>
      </c>
      <c r="D201" s="5" t="s">
        <v>280</v>
      </c>
      <c r="E201" s="5" t="s">
        <v>354</v>
      </c>
      <c r="F201" s="5" t="s">
        <v>90</v>
      </c>
      <c r="H201" s="5" t="s">
        <v>436</v>
      </c>
      <c r="I201" s="5" t="s">
        <v>368</v>
      </c>
      <c r="J201" s="4">
        <v>1.0</v>
      </c>
      <c r="K201" s="5" t="s">
        <v>418</v>
      </c>
      <c r="L201" s="5" t="s">
        <v>122</v>
      </c>
      <c r="M201" s="5" t="s">
        <v>437</v>
      </c>
    </row>
    <row r="202">
      <c r="A202" s="4">
        <v>3.51297083E8</v>
      </c>
      <c r="B202" s="4">
        <v>23.0</v>
      </c>
      <c r="C202" s="6">
        <v>46227.93958333333</v>
      </c>
      <c r="D202" s="5" t="s">
        <v>280</v>
      </c>
      <c r="E202" s="5" t="s">
        <v>354</v>
      </c>
      <c r="F202" s="5" t="s">
        <v>90</v>
      </c>
      <c r="H202" s="5" t="s">
        <v>231</v>
      </c>
      <c r="I202" s="5" t="s">
        <v>232</v>
      </c>
      <c r="J202" s="4">
        <v>1.0</v>
      </c>
      <c r="K202" s="5" t="s">
        <v>418</v>
      </c>
      <c r="L202" s="5" t="s">
        <v>122</v>
      </c>
      <c r="M202" s="5" t="s">
        <v>439</v>
      </c>
    </row>
    <row r="203">
      <c r="A203" s="4">
        <v>3.51297083E8</v>
      </c>
      <c r="B203" s="4">
        <v>23.0</v>
      </c>
      <c r="C203" s="6">
        <v>46227.93958333333</v>
      </c>
      <c r="D203" s="5" t="s">
        <v>280</v>
      </c>
      <c r="E203" s="5" t="s">
        <v>354</v>
      </c>
      <c r="F203" s="5" t="s">
        <v>90</v>
      </c>
      <c r="H203" s="5" t="s">
        <v>440</v>
      </c>
      <c r="I203" s="5" t="s">
        <v>372</v>
      </c>
      <c r="J203" s="4">
        <v>1.0</v>
      </c>
      <c r="K203" s="5" t="s">
        <v>418</v>
      </c>
      <c r="L203" s="5" t="s">
        <v>122</v>
      </c>
      <c r="M203" s="5" t="s">
        <v>441</v>
      </c>
    </row>
    <row r="204">
      <c r="A204" s="4">
        <v>3.51297083E8</v>
      </c>
      <c r="B204" s="4">
        <v>24.0</v>
      </c>
      <c r="C204" s="6">
        <v>46227.94225694444</v>
      </c>
      <c r="D204" s="5" t="s">
        <v>302</v>
      </c>
      <c r="E204" s="5" t="s">
        <v>354</v>
      </c>
      <c r="F204" s="5" t="s">
        <v>20</v>
      </c>
      <c r="H204" s="5" t="s">
        <v>442</v>
      </c>
      <c r="I204" s="5" t="s">
        <v>380</v>
      </c>
      <c r="J204" s="4">
        <v>2.0</v>
      </c>
      <c r="K204" s="5" t="s">
        <v>443</v>
      </c>
      <c r="L204" s="5" t="s">
        <v>122</v>
      </c>
      <c r="M204" s="5" t="s">
        <v>444</v>
      </c>
    </row>
    <row r="205">
      <c r="A205" s="4">
        <v>3.51297083E8</v>
      </c>
      <c r="B205" s="4">
        <v>24.0</v>
      </c>
      <c r="C205" s="6">
        <v>46227.94225694444</v>
      </c>
      <c r="D205" s="5" t="s">
        <v>302</v>
      </c>
      <c r="E205" s="5" t="s">
        <v>354</v>
      </c>
      <c r="F205" s="5" t="s">
        <v>20</v>
      </c>
      <c r="H205" s="5" t="s">
        <v>445</v>
      </c>
      <c r="I205" s="5" t="s">
        <v>155</v>
      </c>
      <c r="J205" s="4">
        <v>2.0</v>
      </c>
      <c r="K205" s="5" t="s">
        <v>443</v>
      </c>
      <c r="L205" s="5" t="s">
        <v>122</v>
      </c>
      <c r="M205" s="5" t="s">
        <v>446</v>
      </c>
    </row>
    <row r="206">
      <c r="A206" s="4">
        <v>3.51297083E8</v>
      </c>
      <c r="B206" s="4">
        <v>24.0</v>
      </c>
      <c r="C206" s="6">
        <v>46227.94225694444</v>
      </c>
      <c r="D206" s="5" t="s">
        <v>302</v>
      </c>
      <c r="E206" s="5" t="s">
        <v>354</v>
      </c>
      <c r="F206" s="5" t="s">
        <v>20</v>
      </c>
      <c r="H206" s="5" t="s">
        <v>447</v>
      </c>
      <c r="I206" s="5" t="s">
        <v>386</v>
      </c>
      <c r="J206" s="4">
        <v>2.0</v>
      </c>
      <c r="K206" s="5" t="s">
        <v>443</v>
      </c>
      <c r="L206" s="5" t="s">
        <v>122</v>
      </c>
      <c r="M206" s="5" t="s">
        <v>449</v>
      </c>
    </row>
    <row r="207">
      <c r="A207" s="4">
        <v>3.51297083E8</v>
      </c>
      <c r="B207" s="4">
        <v>24.0</v>
      </c>
      <c r="C207" s="6">
        <v>46227.94225694444</v>
      </c>
      <c r="D207" s="5" t="s">
        <v>302</v>
      </c>
      <c r="E207" s="5" t="s">
        <v>354</v>
      </c>
      <c r="F207" s="5" t="s">
        <v>20</v>
      </c>
      <c r="H207" s="5" t="s">
        <v>450</v>
      </c>
      <c r="I207" s="5" t="s">
        <v>144</v>
      </c>
      <c r="J207" s="4">
        <v>2.0</v>
      </c>
      <c r="K207" s="5" t="s">
        <v>443</v>
      </c>
      <c r="L207" s="5" t="s">
        <v>122</v>
      </c>
      <c r="M207" s="5" t="s">
        <v>451</v>
      </c>
    </row>
    <row r="208">
      <c r="A208" s="4">
        <v>3.51297083E8</v>
      </c>
      <c r="B208" s="4">
        <v>24.0</v>
      </c>
      <c r="C208" s="6">
        <v>46227.94225694444</v>
      </c>
      <c r="D208" s="5" t="s">
        <v>302</v>
      </c>
      <c r="E208" s="5" t="s">
        <v>354</v>
      </c>
      <c r="F208" s="5" t="s">
        <v>20</v>
      </c>
      <c r="H208" s="5" t="s">
        <v>453</v>
      </c>
      <c r="I208" s="5" t="s">
        <v>389</v>
      </c>
      <c r="J208" s="4">
        <v>2.0</v>
      </c>
      <c r="K208" s="5" t="s">
        <v>443</v>
      </c>
      <c r="L208" s="5" t="s">
        <v>122</v>
      </c>
      <c r="M208" s="5" t="s">
        <v>454</v>
      </c>
    </row>
    <row r="209">
      <c r="A209" s="4">
        <v>3.51297083E8</v>
      </c>
      <c r="B209" s="4">
        <v>24.0</v>
      </c>
      <c r="C209" s="6">
        <v>46227.94225694444</v>
      </c>
      <c r="D209" s="5" t="s">
        <v>302</v>
      </c>
      <c r="E209" s="5" t="s">
        <v>354</v>
      </c>
      <c r="F209" s="5" t="s">
        <v>20</v>
      </c>
      <c r="H209" s="5" t="s">
        <v>456</v>
      </c>
      <c r="I209" s="5" t="s">
        <v>391</v>
      </c>
      <c r="J209" s="4">
        <v>2.0</v>
      </c>
      <c r="K209" s="5" t="s">
        <v>443</v>
      </c>
      <c r="L209" s="5" t="s">
        <v>122</v>
      </c>
      <c r="M209" s="5" t="s">
        <v>457</v>
      </c>
    </row>
    <row r="210">
      <c r="A210" s="4">
        <v>3.51297083E8</v>
      </c>
      <c r="B210" s="4">
        <v>24.0</v>
      </c>
      <c r="C210" s="6">
        <v>46227.94225694444</v>
      </c>
      <c r="D210" s="5" t="s">
        <v>302</v>
      </c>
      <c r="E210" s="5" t="s">
        <v>354</v>
      </c>
      <c r="F210" s="5" t="s">
        <v>20</v>
      </c>
      <c r="H210" s="5" t="s">
        <v>459</v>
      </c>
      <c r="I210" s="5" t="s">
        <v>394</v>
      </c>
      <c r="J210" s="4">
        <v>2.0</v>
      </c>
      <c r="K210" s="5" t="s">
        <v>443</v>
      </c>
      <c r="L210" s="5" t="s">
        <v>122</v>
      </c>
      <c r="M210" s="5" t="s">
        <v>460</v>
      </c>
    </row>
    <row r="211">
      <c r="A211" s="4">
        <v>3.51297083E8</v>
      </c>
      <c r="B211" s="4">
        <v>24.0</v>
      </c>
      <c r="C211" s="6">
        <v>46227.94225694444</v>
      </c>
      <c r="D211" s="5" t="s">
        <v>302</v>
      </c>
      <c r="E211" s="5" t="s">
        <v>354</v>
      </c>
      <c r="F211" s="5" t="s">
        <v>20</v>
      </c>
      <c r="H211" s="5" t="s">
        <v>462</v>
      </c>
      <c r="I211" s="5" t="s">
        <v>396</v>
      </c>
      <c r="J211" s="4">
        <v>2.0</v>
      </c>
      <c r="K211" s="5" t="s">
        <v>443</v>
      </c>
      <c r="L211" s="5" t="s">
        <v>122</v>
      </c>
      <c r="M211" s="5" t="s">
        <v>463</v>
      </c>
    </row>
    <row r="212">
      <c r="A212" s="4">
        <v>3.51297083E8</v>
      </c>
      <c r="B212" s="4">
        <v>24.0</v>
      </c>
      <c r="C212" s="6">
        <v>46227.94225694444</v>
      </c>
      <c r="D212" s="5" t="s">
        <v>302</v>
      </c>
      <c r="E212" s="5" t="s">
        <v>354</v>
      </c>
      <c r="F212" s="5" t="s">
        <v>20</v>
      </c>
      <c r="H212" s="5" t="s">
        <v>464</v>
      </c>
      <c r="I212" s="5" t="s">
        <v>400</v>
      </c>
      <c r="J212" s="4">
        <v>2.0</v>
      </c>
      <c r="K212" s="5" t="s">
        <v>443</v>
      </c>
      <c r="L212" s="5" t="s">
        <v>122</v>
      </c>
      <c r="M212" s="5" t="s">
        <v>465</v>
      </c>
    </row>
    <row r="213">
      <c r="A213" s="4">
        <v>3.51297083E8</v>
      </c>
      <c r="B213" s="4">
        <v>24.0</v>
      </c>
      <c r="C213" s="6">
        <v>46227.94225694444</v>
      </c>
      <c r="D213" s="5" t="s">
        <v>302</v>
      </c>
      <c r="E213" s="5" t="s">
        <v>354</v>
      </c>
      <c r="F213" s="5" t="s">
        <v>20</v>
      </c>
      <c r="H213" s="5" t="s">
        <v>466</v>
      </c>
      <c r="I213" s="5" t="s">
        <v>402</v>
      </c>
      <c r="J213" s="4">
        <v>2.0</v>
      </c>
      <c r="K213" s="5" t="s">
        <v>443</v>
      </c>
      <c r="L213" s="5" t="s">
        <v>122</v>
      </c>
      <c r="M213" s="5" t="s">
        <v>467</v>
      </c>
    </row>
    <row r="214">
      <c r="A214" s="4">
        <v>3.51297083E8</v>
      </c>
      <c r="B214" s="4">
        <v>24.0</v>
      </c>
      <c r="C214" s="6">
        <v>46227.94225694444</v>
      </c>
      <c r="D214" s="5" t="s">
        <v>302</v>
      </c>
      <c r="E214" s="5" t="s">
        <v>354</v>
      </c>
      <c r="F214" s="5" t="s">
        <v>20</v>
      </c>
      <c r="H214" s="5" t="s">
        <v>469</v>
      </c>
      <c r="I214" s="5" t="s">
        <v>404</v>
      </c>
      <c r="J214" s="4">
        <v>2.0</v>
      </c>
      <c r="K214" s="5" t="s">
        <v>443</v>
      </c>
      <c r="L214" s="5" t="s">
        <v>122</v>
      </c>
      <c r="M214" s="5" t="s">
        <v>470</v>
      </c>
    </row>
    <row r="215">
      <c r="A215" s="4">
        <v>3.51297083E8</v>
      </c>
      <c r="B215" s="4">
        <v>24.0</v>
      </c>
      <c r="C215" s="6">
        <v>46227.94225694444</v>
      </c>
      <c r="D215" s="5" t="s">
        <v>302</v>
      </c>
      <c r="E215" s="5" t="s">
        <v>354</v>
      </c>
      <c r="F215" s="5" t="s">
        <v>20</v>
      </c>
      <c r="H215" s="5" t="s">
        <v>471</v>
      </c>
      <c r="I215" s="5" t="s">
        <v>406</v>
      </c>
      <c r="J215" s="4">
        <v>2.0</v>
      </c>
      <c r="K215" s="5" t="s">
        <v>443</v>
      </c>
      <c r="L215" s="5" t="s">
        <v>122</v>
      </c>
      <c r="M215" s="5" t="s">
        <v>472</v>
      </c>
    </row>
    <row r="216">
      <c r="A216" s="4">
        <v>3.51297083E8</v>
      </c>
      <c r="B216" s="4">
        <v>24.0</v>
      </c>
      <c r="C216" s="6">
        <v>46227.94225694444</v>
      </c>
      <c r="D216" s="5" t="s">
        <v>302</v>
      </c>
      <c r="E216" s="5" t="s">
        <v>354</v>
      </c>
      <c r="F216" s="5" t="s">
        <v>20</v>
      </c>
      <c r="H216" s="5" t="s">
        <v>473</v>
      </c>
      <c r="I216" s="5" t="s">
        <v>408</v>
      </c>
      <c r="J216" s="4">
        <v>2.0</v>
      </c>
      <c r="K216" s="5" t="s">
        <v>443</v>
      </c>
      <c r="L216" s="5" t="s">
        <v>122</v>
      </c>
      <c r="M216" s="5" t="s">
        <v>475</v>
      </c>
    </row>
    <row r="217">
      <c r="A217" s="4">
        <v>3.51297083E8</v>
      </c>
      <c r="B217" s="4">
        <v>24.0</v>
      </c>
      <c r="C217" s="6">
        <v>46227.94225694444</v>
      </c>
      <c r="D217" s="5" t="s">
        <v>302</v>
      </c>
      <c r="E217" s="5" t="s">
        <v>354</v>
      </c>
      <c r="F217" s="5" t="s">
        <v>20</v>
      </c>
      <c r="H217" s="5" t="s">
        <v>476</v>
      </c>
      <c r="I217" s="5" t="s">
        <v>189</v>
      </c>
      <c r="J217" s="4">
        <v>2.0</v>
      </c>
      <c r="K217" s="5" t="s">
        <v>443</v>
      </c>
      <c r="L217" s="5" t="s">
        <v>122</v>
      </c>
      <c r="M217" s="5" t="s">
        <v>478</v>
      </c>
    </row>
    <row r="218">
      <c r="A218" s="4">
        <v>3.51297083E8</v>
      </c>
      <c r="B218" s="4">
        <v>27.0</v>
      </c>
      <c r="C218" s="6">
        <v>46227.99303240741</v>
      </c>
      <c r="D218" s="5" t="s">
        <v>385</v>
      </c>
      <c r="E218" s="5" t="s">
        <v>47</v>
      </c>
      <c r="F218" s="5" t="s">
        <v>90</v>
      </c>
      <c r="H218" s="5">
        <v>1407.0</v>
      </c>
      <c r="I218" s="5" t="s">
        <v>479</v>
      </c>
      <c r="J218" s="4">
        <v>1.0</v>
      </c>
      <c r="K218" s="5" t="s">
        <v>480</v>
      </c>
      <c r="L218" s="5" t="s">
        <v>122</v>
      </c>
      <c r="M218" s="5" t="s">
        <v>481</v>
      </c>
    </row>
    <row r="219">
      <c r="A219" s="4">
        <v>3.51297083E8</v>
      </c>
      <c r="B219" s="4">
        <v>27.0</v>
      </c>
      <c r="C219" s="6">
        <v>46227.99303240741</v>
      </c>
      <c r="D219" s="5" t="s">
        <v>385</v>
      </c>
      <c r="E219" s="5" t="s">
        <v>47</v>
      </c>
      <c r="F219" s="5" t="s">
        <v>90</v>
      </c>
      <c r="H219" s="5">
        <v>1241.0</v>
      </c>
      <c r="I219" s="5" t="s">
        <v>483</v>
      </c>
      <c r="J219" s="4">
        <v>1.0</v>
      </c>
      <c r="K219" s="5" t="s">
        <v>480</v>
      </c>
      <c r="L219" s="5" t="s">
        <v>122</v>
      </c>
      <c r="M219" s="5" t="s">
        <v>484</v>
      </c>
    </row>
    <row r="220">
      <c r="A220" s="4">
        <v>3.51297083E8</v>
      </c>
      <c r="B220" s="4">
        <v>27.0</v>
      </c>
      <c r="C220" s="6">
        <v>46227.99303240741</v>
      </c>
      <c r="D220" s="5" t="s">
        <v>385</v>
      </c>
      <c r="E220" s="5" t="s">
        <v>47</v>
      </c>
      <c r="F220" s="5" t="s">
        <v>90</v>
      </c>
      <c r="H220" s="5">
        <v>1527.0</v>
      </c>
      <c r="I220" s="5" t="s">
        <v>485</v>
      </c>
      <c r="J220" s="4">
        <v>1.0</v>
      </c>
      <c r="K220" s="5" t="s">
        <v>480</v>
      </c>
      <c r="L220" s="5" t="s">
        <v>122</v>
      </c>
      <c r="M220" s="5" t="s">
        <v>486</v>
      </c>
    </row>
    <row r="221">
      <c r="A221" s="4">
        <v>3.51297083E8</v>
      </c>
      <c r="B221" s="4">
        <v>27.0</v>
      </c>
      <c r="C221" s="6">
        <v>46227.99303240741</v>
      </c>
      <c r="D221" s="5" t="s">
        <v>385</v>
      </c>
      <c r="E221" s="5" t="s">
        <v>47</v>
      </c>
      <c r="F221" s="5" t="s">
        <v>90</v>
      </c>
      <c r="H221" s="5">
        <v>1201.0</v>
      </c>
      <c r="I221" s="5" t="s">
        <v>487</v>
      </c>
      <c r="J221" s="4">
        <v>1.0</v>
      </c>
      <c r="K221" s="5" t="s">
        <v>488</v>
      </c>
      <c r="L221" s="5" t="s">
        <v>122</v>
      </c>
      <c r="M221" s="5" t="s">
        <v>490</v>
      </c>
    </row>
    <row r="222">
      <c r="A222" s="4">
        <v>3.51297083E8</v>
      </c>
      <c r="B222" s="4">
        <v>27.0</v>
      </c>
      <c r="C222" s="6">
        <v>46227.99303240741</v>
      </c>
      <c r="D222" s="5" t="s">
        <v>385</v>
      </c>
      <c r="E222" s="5" t="s">
        <v>47</v>
      </c>
      <c r="F222" s="5" t="s">
        <v>90</v>
      </c>
      <c r="H222" s="5">
        <v>1031.0</v>
      </c>
      <c r="I222" s="5" t="s">
        <v>491</v>
      </c>
      <c r="J222" s="4">
        <v>1.0</v>
      </c>
      <c r="K222" s="5" t="s">
        <v>480</v>
      </c>
      <c r="L222" s="5" t="s">
        <v>122</v>
      </c>
      <c r="M222" s="5" t="s">
        <v>492</v>
      </c>
    </row>
    <row r="223">
      <c r="A223" s="4">
        <v>3.51297083E8</v>
      </c>
      <c r="B223" s="4">
        <v>28.0</v>
      </c>
      <c r="C223" s="6">
        <v>46227.99568287037</v>
      </c>
      <c r="D223" s="5" t="s">
        <v>399</v>
      </c>
      <c r="E223" s="5" t="s">
        <v>47</v>
      </c>
      <c r="F223" s="5" t="s">
        <v>20</v>
      </c>
      <c r="H223" s="5">
        <v>1138.0</v>
      </c>
      <c r="I223" s="5" t="s">
        <v>493</v>
      </c>
      <c r="J223" s="4">
        <v>2.0</v>
      </c>
      <c r="K223" s="5" t="s">
        <v>495</v>
      </c>
      <c r="L223" s="5" t="s">
        <v>122</v>
      </c>
      <c r="M223" s="5" t="s">
        <v>496</v>
      </c>
    </row>
    <row r="224">
      <c r="A224" s="4">
        <v>3.51297083E8</v>
      </c>
      <c r="B224" s="4">
        <v>28.0</v>
      </c>
      <c r="C224" s="6">
        <v>46227.99568287037</v>
      </c>
      <c r="D224" s="5" t="s">
        <v>399</v>
      </c>
      <c r="E224" s="5" t="s">
        <v>47</v>
      </c>
      <c r="F224" s="5" t="s">
        <v>20</v>
      </c>
      <c r="H224" s="5">
        <v>1124.0</v>
      </c>
      <c r="I224" s="5" t="s">
        <v>498</v>
      </c>
      <c r="J224" s="4">
        <v>1.0</v>
      </c>
      <c r="K224" s="5" t="s">
        <v>480</v>
      </c>
      <c r="L224" s="5" t="s">
        <v>122</v>
      </c>
      <c r="M224" s="5" t="s">
        <v>499</v>
      </c>
    </row>
    <row r="225">
      <c r="A225" s="4">
        <v>3.51297083E8</v>
      </c>
      <c r="B225" s="4">
        <v>28.0</v>
      </c>
      <c r="C225" s="6">
        <v>46227.99568287037</v>
      </c>
      <c r="D225" s="5" t="s">
        <v>399</v>
      </c>
      <c r="E225" s="5" t="s">
        <v>47</v>
      </c>
      <c r="F225" s="5" t="s">
        <v>20</v>
      </c>
      <c r="H225" s="5">
        <v>1240.0</v>
      </c>
      <c r="I225" s="5" t="s">
        <v>501</v>
      </c>
      <c r="J225" s="4">
        <v>1.0</v>
      </c>
      <c r="K225" s="5" t="s">
        <v>480</v>
      </c>
      <c r="L225" s="5" t="s">
        <v>122</v>
      </c>
      <c r="M225" s="5" t="s">
        <v>502</v>
      </c>
    </row>
    <row r="226">
      <c r="A226" s="4">
        <v>3.51297083E8</v>
      </c>
      <c r="B226" s="4">
        <v>29.0</v>
      </c>
      <c r="C226" s="6">
        <v>46228.00315972222</v>
      </c>
      <c r="D226" s="5" t="s">
        <v>455</v>
      </c>
      <c r="E226" s="5" t="s">
        <v>452</v>
      </c>
      <c r="F226" s="5" t="s">
        <v>20</v>
      </c>
      <c r="L226" s="5" t="s">
        <v>21</v>
      </c>
      <c r="M226" s="5" t="s">
        <v>503</v>
      </c>
    </row>
    <row r="227">
      <c r="A227" s="4">
        <v>3.51297083E8</v>
      </c>
      <c r="B227" s="4">
        <v>29.0</v>
      </c>
      <c r="C227" s="6">
        <v>46228.00315972222</v>
      </c>
      <c r="D227" s="5" t="s">
        <v>455</v>
      </c>
      <c r="E227" s="5" t="s">
        <v>452</v>
      </c>
      <c r="F227" s="5" t="s">
        <v>20</v>
      </c>
      <c r="L227" s="5" t="s">
        <v>21</v>
      </c>
      <c r="M227" s="5" t="s">
        <v>504</v>
      </c>
    </row>
    <row r="228">
      <c r="A228" s="4">
        <v>3.51297083E8</v>
      </c>
      <c r="B228" s="4">
        <v>29.0</v>
      </c>
      <c r="C228" s="6">
        <v>46228.00315972222</v>
      </c>
      <c r="D228" s="5" t="s">
        <v>455</v>
      </c>
      <c r="E228" s="5" t="s">
        <v>452</v>
      </c>
      <c r="F228" s="5" t="s">
        <v>20</v>
      </c>
      <c r="L228" s="5" t="s">
        <v>21</v>
      </c>
      <c r="M228" s="5" t="s">
        <v>505</v>
      </c>
    </row>
    <row r="229">
      <c r="A229" s="4">
        <v>3.51297083E8</v>
      </c>
      <c r="B229" s="4">
        <v>29.0</v>
      </c>
      <c r="C229" s="6">
        <v>46228.00315972222</v>
      </c>
      <c r="D229" s="5" t="s">
        <v>455</v>
      </c>
      <c r="E229" s="5" t="s">
        <v>452</v>
      </c>
      <c r="F229" s="5" t="s">
        <v>20</v>
      </c>
      <c r="L229" s="5" t="s">
        <v>21</v>
      </c>
      <c r="M229" s="5" t="s">
        <v>506</v>
      </c>
    </row>
    <row r="230">
      <c r="A230" s="4">
        <v>3.51297083E8</v>
      </c>
      <c r="B230" s="4">
        <v>29.0</v>
      </c>
      <c r="C230" s="6">
        <v>46228.00315972222</v>
      </c>
      <c r="D230" s="5" t="s">
        <v>455</v>
      </c>
      <c r="E230" s="5" t="s">
        <v>452</v>
      </c>
      <c r="F230" s="5" t="s">
        <v>20</v>
      </c>
      <c r="L230" s="5" t="s">
        <v>21</v>
      </c>
      <c r="M230" s="5" t="s">
        <v>508</v>
      </c>
    </row>
    <row r="231">
      <c r="A231" s="4">
        <v>3.51297083E8</v>
      </c>
      <c r="B231" s="4">
        <v>29.0</v>
      </c>
      <c r="C231" s="6">
        <v>46228.00315972222</v>
      </c>
      <c r="D231" s="5" t="s">
        <v>455</v>
      </c>
      <c r="E231" s="5" t="s">
        <v>452</v>
      </c>
      <c r="F231" s="5" t="s">
        <v>20</v>
      </c>
      <c r="L231" s="5" t="s">
        <v>21</v>
      </c>
      <c r="M231" s="5" t="s">
        <v>510</v>
      </c>
    </row>
    <row r="232">
      <c r="A232" s="4">
        <v>3.51297083E8</v>
      </c>
      <c r="B232" s="4">
        <v>29.0</v>
      </c>
      <c r="C232" s="6">
        <v>46228.00315972222</v>
      </c>
      <c r="D232" s="5" t="s">
        <v>455</v>
      </c>
      <c r="E232" s="5" t="s">
        <v>452</v>
      </c>
      <c r="F232" s="5" t="s">
        <v>20</v>
      </c>
      <c r="L232" s="5" t="s">
        <v>21</v>
      </c>
      <c r="M232" s="5" t="s">
        <v>511</v>
      </c>
    </row>
    <row r="233">
      <c r="A233" s="4">
        <v>3.51297083E8</v>
      </c>
      <c r="B233" s="4">
        <v>29.0</v>
      </c>
      <c r="C233" s="6">
        <v>46228.00315972222</v>
      </c>
      <c r="D233" s="5" t="s">
        <v>455</v>
      </c>
      <c r="E233" s="5" t="s">
        <v>452</v>
      </c>
      <c r="F233" s="5" t="s">
        <v>20</v>
      </c>
      <c r="L233" s="5" t="s">
        <v>21</v>
      </c>
      <c r="M233" s="5" t="s">
        <v>513</v>
      </c>
    </row>
    <row r="234">
      <c r="A234" s="4">
        <v>3.51297083E8</v>
      </c>
      <c r="B234" s="4">
        <v>29.0</v>
      </c>
      <c r="C234" s="6">
        <v>46228.00315972222</v>
      </c>
      <c r="D234" s="5" t="s">
        <v>455</v>
      </c>
      <c r="E234" s="5" t="s">
        <v>452</v>
      </c>
      <c r="F234" s="5" t="s">
        <v>20</v>
      </c>
      <c r="L234" s="5" t="s">
        <v>21</v>
      </c>
      <c r="M234" s="5" t="s">
        <v>514</v>
      </c>
    </row>
    <row r="235">
      <c r="A235" s="4">
        <v>3.51297083E8</v>
      </c>
      <c r="B235" s="4">
        <v>29.0</v>
      </c>
      <c r="C235" s="6">
        <v>46228.00315972222</v>
      </c>
      <c r="D235" s="5" t="s">
        <v>455</v>
      </c>
      <c r="E235" s="5" t="s">
        <v>452</v>
      </c>
      <c r="F235" s="5" t="s">
        <v>20</v>
      </c>
      <c r="L235" s="5" t="s">
        <v>21</v>
      </c>
      <c r="M235" s="5" t="s">
        <v>516</v>
      </c>
    </row>
    <row r="236">
      <c r="A236" s="4">
        <v>3.51297083E8</v>
      </c>
      <c r="B236" s="4">
        <v>30.0</v>
      </c>
      <c r="C236" s="6">
        <v>46228.0071875</v>
      </c>
      <c r="D236" s="5" t="s">
        <v>474</v>
      </c>
      <c r="E236" s="5" t="s">
        <v>452</v>
      </c>
      <c r="F236" s="5" t="s">
        <v>90</v>
      </c>
      <c r="L236" s="5" t="s">
        <v>21</v>
      </c>
      <c r="M236" s="5" t="s">
        <v>517</v>
      </c>
    </row>
    <row r="237">
      <c r="A237" s="4">
        <v>3.51297083E8</v>
      </c>
      <c r="B237" s="4">
        <v>30.0</v>
      </c>
      <c r="C237" s="6">
        <v>46228.0071875</v>
      </c>
      <c r="D237" s="5" t="s">
        <v>474</v>
      </c>
      <c r="E237" s="5" t="s">
        <v>452</v>
      </c>
      <c r="F237" s="5" t="s">
        <v>90</v>
      </c>
      <c r="L237" s="5" t="s">
        <v>21</v>
      </c>
      <c r="M237" s="5" t="s">
        <v>518</v>
      </c>
    </row>
    <row r="238">
      <c r="A238" s="4">
        <v>3.51297083E8</v>
      </c>
      <c r="B238" s="4">
        <v>30.0</v>
      </c>
      <c r="C238" s="6">
        <v>46228.0071875</v>
      </c>
      <c r="D238" s="5" t="s">
        <v>474</v>
      </c>
      <c r="E238" s="5" t="s">
        <v>452</v>
      </c>
      <c r="F238" s="5" t="s">
        <v>90</v>
      </c>
      <c r="L238" s="5" t="s">
        <v>21</v>
      </c>
      <c r="M238" s="5" t="s">
        <v>519</v>
      </c>
    </row>
    <row r="239">
      <c r="A239" s="4">
        <v>3.51297083E8</v>
      </c>
      <c r="B239" s="4">
        <v>31.0</v>
      </c>
      <c r="C239" s="6">
        <v>46230.613703703704</v>
      </c>
      <c r="D239" s="5" t="s">
        <v>497</v>
      </c>
      <c r="E239" s="5" t="s">
        <v>494</v>
      </c>
      <c r="F239" s="5" t="s">
        <v>90</v>
      </c>
      <c r="L239" s="5" t="s">
        <v>21</v>
      </c>
      <c r="M239" s="5" t="s">
        <v>520</v>
      </c>
    </row>
    <row r="240">
      <c r="A240" s="4">
        <v>3.51297083E8</v>
      </c>
      <c r="B240" s="4">
        <v>31.0</v>
      </c>
      <c r="C240" s="6">
        <v>46230.613703703704</v>
      </c>
      <c r="D240" s="5" t="s">
        <v>497</v>
      </c>
      <c r="E240" s="5" t="s">
        <v>494</v>
      </c>
      <c r="F240" s="5" t="s">
        <v>90</v>
      </c>
      <c r="L240" s="5" t="s">
        <v>21</v>
      </c>
      <c r="M240" s="5" t="s">
        <v>521</v>
      </c>
    </row>
    <row r="241">
      <c r="A241" s="4">
        <v>3.51297083E8</v>
      </c>
      <c r="B241" s="4">
        <v>31.0</v>
      </c>
      <c r="C241" s="6">
        <v>46230.613703703704</v>
      </c>
      <c r="D241" s="5" t="s">
        <v>497</v>
      </c>
      <c r="E241" s="5" t="s">
        <v>494</v>
      </c>
      <c r="F241" s="5" t="s">
        <v>90</v>
      </c>
      <c r="L241" s="5" t="s">
        <v>21</v>
      </c>
      <c r="M241" s="5" t="s">
        <v>522</v>
      </c>
    </row>
    <row r="242">
      <c r="A242" s="4">
        <v>3.51297083E8</v>
      </c>
      <c r="B242" s="4">
        <v>31.0</v>
      </c>
      <c r="C242" s="6">
        <v>46230.613703703704</v>
      </c>
      <c r="D242" s="5" t="s">
        <v>497</v>
      </c>
      <c r="E242" s="5" t="s">
        <v>494</v>
      </c>
      <c r="F242" s="5" t="s">
        <v>90</v>
      </c>
      <c r="L242" s="5" t="s">
        <v>21</v>
      </c>
      <c r="M242" s="5" t="s">
        <v>523</v>
      </c>
    </row>
    <row r="243">
      <c r="A243" s="4">
        <v>3.51297083E8</v>
      </c>
      <c r="B243" s="4">
        <v>31.0</v>
      </c>
      <c r="C243" s="6">
        <v>46230.613703703704</v>
      </c>
      <c r="D243" s="5" t="s">
        <v>497</v>
      </c>
      <c r="E243" s="5" t="s">
        <v>494</v>
      </c>
      <c r="F243" s="5" t="s">
        <v>90</v>
      </c>
      <c r="L243" s="5" t="s">
        <v>21</v>
      </c>
      <c r="M243" s="5" t="s">
        <v>525</v>
      </c>
    </row>
    <row r="244">
      <c r="A244" s="4">
        <v>3.51297083E8</v>
      </c>
      <c r="B244" s="4">
        <v>31.0</v>
      </c>
      <c r="C244" s="6">
        <v>46230.613703703704</v>
      </c>
      <c r="D244" s="5" t="s">
        <v>497</v>
      </c>
      <c r="E244" s="5" t="s">
        <v>494</v>
      </c>
      <c r="F244" s="5" t="s">
        <v>90</v>
      </c>
      <c r="L244" s="5" t="s">
        <v>21</v>
      </c>
      <c r="M244" s="5" t="s">
        <v>526</v>
      </c>
    </row>
    <row r="245">
      <c r="A245" s="4">
        <v>3.51297083E8</v>
      </c>
      <c r="B245" s="4">
        <v>31.0</v>
      </c>
      <c r="C245" s="6">
        <v>46230.613703703704</v>
      </c>
      <c r="D245" s="5" t="s">
        <v>497</v>
      </c>
      <c r="E245" s="5" t="s">
        <v>494</v>
      </c>
      <c r="F245" s="5" t="s">
        <v>90</v>
      </c>
      <c r="L245" s="5" t="s">
        <v>21</v>
      </c>
      <c r="M245" s="5" t="s">
        <v>528</v>
      </c>
    </row>
    <row r="246">
      <c r="A246" s="4">
        <v>3.51297083E8</v>
      </c>
      <c r="B246" s="4">
        <v>31.0</v>
      </c>
      <c r="C246" s="6">
        <v>46230.613703703704</v>
      </c>
      <c r="D246" s="5" t="s">
        <v>497</v>
      </c>
      <c r="E246" s="5" t="s">
        <v>494</v>
      </c>
      <c r="F246" s="5" t="s">
        <v>90</v>
      </c>
      <c r="L246" s="5" t="s">
        <v>21</v>
      </c>
      <c r="M246" s="5" t="s">
        <v>529</v>
      </c>
    </row>
    <row r="247">
      <c r="A247" s="4">
        <v>3.51297083E8</v>
      </c>
      <c r="B247" s="4">
        <v>31.0</v>
      </c>
      <c r="C247" s="6">
        <v>46230.613703703704</v>
      </c>
      <c r="D247" s="5" t="s">
        <v>497</v>
      </c>
      <c r="E247" s="5" t="s">
        <v>494</v>
      </c>
      <c r="F247" s="5" t="s">
        <v>90</v>
      </c>
      <c r="L247" s="5" t="s">
        <v>21</v>
      </c>
      <c r="M247" s="5" t="s">
        <v>530</v>
      </c>
    </row>
    <row r="248">
      <c r="A248" s="4">
        <v>3.51297083E8</v>
      </c>
      <c r="B248" s="4">
        <v>31.0</v>
      </c>
      <c r="C248" s="6">
        <v>46230.613703703704</v>
      </c>
      <c r="D248" s="5" t="s">
        <v>497</v>
      </c>
      <c r="E248" s="5" t="s">
        <v>494</v>
      </c>
      <c r="F248" s="5" t="s">
        <v>90</v>
      </c>
      <c r="L248" s="5" t="s">
        <v>21</v>
      </c>
      <c r="M248" s="5" t="s">
        <v>531</v>
      </c>
    </row>
    <row r="249">
      <c r="A249" s="4">
        <v>3.51297083E8</v>
      </c>
      <c r="B249" s="4">
        <v>31.0</v>
      </c>
      <c r="C249" s="6">
        <v>46230.613703703704</v>
      </c>
      <c r="D249" s="5" t="s">
        <v>497</v>
      </c>
      <c r="E249" s="5" t="s">
        <v>494</v>
      </c>
      <c r="F249" s="5" t="s">
        <v>90</v>
      </c>
      <c r="L249" s="5" t="s">
        <v>21</v>
      </c>
      <c r="M249" s="5" t="s">
        <v>532</v>
      </c>
    </row>
    <row r="250">
      <c r="A250" s="4">
        <v>3.51297083E8</v>
      </c>
      <c r="B250" s="4">
        <v>31.0</v>
      </c>
      <c r="C250" s="6">
        <v>46230.613703703704</v>
      </c>
      <c r="D250" s="5" t="s">
        <v>497</v>
      </c>
      <c r="E250" s="5" t="s">
        <v>494</v>
      </c>
      <c r="F250" s="5" t="s">
        <v>90</v>
      </c>
      <c r="L250" s="5" t="s">
        <v>21</v>
      </c>
      <c r="M250" s="5" t="s">
        <v>534</v>
      </c>
    </row>
    <row r="251">
      <c r="A251" s="4">
        <v>3.51297083E8</v>
      </c>
      <c r="B251" s="4">
        <v>31.0</v>
      </c>
      <c r="C251" s="6">
        <v>46230.613703703704</v>
      </c>
      <c r="D251" s="5" t="s">
        <v>497</v>
      </c>
      <c r="E251" s="5" t="s">
        <v>494</v>
      </c>
      <c r="F251" s="5" t="s">
        <v>90</v>
      </c>
      <c r="L251" s="5" t="s">
        <v>21</v>
      </c>
      <c r="M251" s="5" t="s">
        <v>536</v>
      </c>
    </row>
    <row r="252">
      <c r="A252" s="4">
        <v>3.51297083E8</v>
      </c>
      <c r="B252" s="4">
        <v>31.0</v>
      </c>
      <c r="C252" s="6">
        <v>46230.613703703704</v>
      </c>
      <c r="D252" s="5" t="s">
        <v>497</v>
      </c>
      <c r="E252" s="5" t="s">
        <v>494</v>
      </c>
      <c r="F252" s="5" t="s">
        <v>90</v>
      </c>
      <c r="L252" s="5" t="s">
        <v>21</v>
      </c>
      <c r="M252" s="5" t="s">
        <v>523</v>
      </c>
    </row>
    <row r="253">
      <c r="A253" s="4">
        <v>3.51297083E8</v>
      </c>
      <c r="B253" s="4">
        <v>31.0</v>
      </c>
      <c r="C253" s="6">
        <v>46230.613703703704</v>
      </c>
      <c r="D253" s="5" t="s">
        <v>497</v>
      </c>
      <c r="E253" s="5" t="s">
        <v>494</v>
      </c>
      <c r="F253" s="5" t="s">
        <v>90</v>
      </c>
      <c r="L253" s="5" t="s">
        <v>21</v>
      </c>
      <c r="M253" s="5" t="s">
        <v>537</v>
      </c>
    </row>
    <row r="254">
      <c r="A254" s="4">
        <v>3.51297083E8</v>
      </c>
      <c r="B254" s="4">
        <v>31.0</v>
      </c>
      <c r="C254" s="6">
        <v>46230.613703703704</v>
      </c>
      <c r="D254" s="5" t="s">
        <v>497</v>
      </c>
      <c r="E254" s="5" t="s">
        <v>494</v>
      </c>
      <c r="F254" s="5" t="s">
        <v>90</v>
      </c>
      <c r="L254" s="5" t="s">
        <v>21</v>
      </c>
      <c r="M254" s="5" t="s">
        <v>538</v>
      </c>
    </row>
    <row r="255">
      <c r="A255" s="4">
        <v>3.51297083E8</v>
      </c>
      <c r="B255" s="4">
        <v>31.0</v>
      </c>
      <c r="C255" s="6">
        <v>46230.613703703704</v>
      </c>
      <c r="D255" s="5" t="s">
        <v>497</v>
      </c>
      <c r="E255" s="5" t="s">
        <v>494</v>
      </c>
      <c r="F255" s="5" t="s">
        <v>90</v>
      </c>
      <c r="L255" s="5" t="s">
        <v>21</v>
      </c>
      <c r="M255" s="5" t="s">
        <v>541</v>
      </c>
    </row>
    <row r="256">
      <c r="A256" s="4">
        <v>3.51297083E8</v>
      </c>
      <c r="B256" s="4">
        <v>31.0</v>
      </c>
      <c r="C256" s="6">
        <v>46230.613703703704</v>
      </c>
      <c r="D256" s="5" t="s">
        <v>497</v>
      </c>
      <c r="E256" s="5" t="s">
        <v>494</v>
      </c>
      <c r="F256" s="5" t="s">
        <v>90</v>
      </c>
      <c r="L256" s="5" t="s">
        <v>21</v>
      </c>
      <c r="M256" s="5" t="s">
        <v>542</v>
      </c>
    </row>
    <row r="257">
      <c r="A257" s="4">
        <v>3.51297083E8</v>
      </c>
      <c r="B257" s="4">
        <v>31.0</v>
      </c>
      <c r="C257" s="6">
        <v>46230.613703703704</v>
      </c>
      <c r="D257" s="5" t="s">
        <v>497</v>
      </c>
      <c r="E257" s="5" t="s">
        <v>494</v>
      </c>
      <c r="F257" s="5" t="s">
        <v>90</v>
      </c>
      <c r="L257" s="5" t="s">
        <v>21</v>
      </c>
      <c r="M257" s="5" t="s">
        <v>544</v>
      </c>
    </row>
    <row r="258">
      <c r="A258" s="4">
        <v>3.51297083E8</v>
      </c>
      <c r="B258" s="4">
        <v>31.0</v>
      </c>
      <c r="C258" s="6">
        <v>46230.613703703704</v>
      </c>
      <c r="D258" s="5" t="s">
        <v>497</v>
      </c>
      <c r="E258" s="5" t="s">
        <v>494</v>
      </c>
      <c r="F258" s="5" t="s">
        <v>90</v>
      </c>
      <c r="L258" s="5" t="s">
        <v>21</v>
      </c>
      <c r="M258" s="5" t="s">
        <v>545</v>
      </c>
    </row>
    <row r="259">
      <c r="A259" s="4">
        <v>3.51297083E8</v>
      </c>
      <c r="B259" s="4">
        <v>32.0</v>
      </c>
      <c r="C259" s="6">
        <v>46230.807280092595</v>
      </c>
      <c r="D259" s="5" t="s">
        <v>509</v>
      </c>
      <c r="E259" s="5" t="s">
        <v>507</v>
      </c>
      <c r="F259" s="5" t="s">
        <v>20</v>
      </c>
      <c r="L259" s="5" t="s">
        <v>21</v>
      </c>
      <c r="M259" s="5" t="s">
        <v>546</v>
      </c>
    </row>
    <row r="260">
      <c r="A260" s="4">
        <v>3.51297083E8</v>
      </c>
      <c r="B260" s="4">
        <v>32.0</v>
      </c>
      <c r="C260" s="6">
        <v>46230.807280092595</v>
      </c>
      <c r="D260" s="5" t="s">
        <v>509</v>
      </c>
      <c r="E260" s="5" t="s">
        <v>507</v>
      </c>
      <c r="F260" s="5" t="s">
        <v>20</v>
      </c>
      <c r="L260" s="5" t="s">
        <v>21</v>
      </c>
      <c r="M260" s="5" t="s">
        <v>547</v>
      </c>
    </row>
    <row r="261">
      <c r="A261" s="4">
        <v>3.51297083E8</v>
      </c>
      <c r="B261" s="4">
        <v>32.0</v>
      </c>
      <c r="C261" s="6">
        <v>46230.807280092595</v>
      </c>
      <c r="D261" s="5" t="s">
        <v>509</v>
      </c>
      <c r="E261" s="5" t="s">
        <v>507</v>
      </c>
      <c r="F261" s="5" t="s">
        <v>20</v>
      </c>
      <c r="L261" s="5" t="s">
        <v>21</v>
      </c>
      <c r="M261" s="5" t="s">
        <v>550</v>
      </c>
    </row>
    <row r="262">
      <c r="A262" s="4">
        <v>3.51297083E8</v>
      </c>
      <c r="B262" s="4">
        <v>32.0</v>
      </c>
      <c r="C262" s="6">
        <v>46230.807280092595</v>
      </c>
      <c r="D262" s="5" t="s">
        <v>509</v>
      </c>
      <c r="E262" s="5" t="s">
        <v>507</v>
      </c>
      <c r="F262" s="5" t="s">
        <v>20</v>
      </c>
      <c r="L262" s="5" t="s">
        <v>21</v>
      </c>
      <c r="M262" s="5" t="s">
        <v>552</v>
      </c>
    </row>
    <row r="263">
      <c r="A263" s="4">
        <v>3.51297083E8</v>
      </c>
      <c r="B263" s="4">
        <v>32.0</v>
      </c>
      <c r="C263" s="6">
        <v>46230.807280092595</v>
      </c>
      <c r="D263" s="5" t="s">
        <v>509</v>
      </c>
      <c r="E263" s="5" t="s">
        <v>507</v>
      </c>
      <c r="F263" s="5" t="s">
        <v>20</v>
      </c>
      <c r="L263" s="5" t="s">
        <v>21</v>
      </c>
      <c r="M263" s="5" t="s">
        <v>553</v>
      </c>
    </row>
    <row r="264">
      <c r="A264" s="4">
        <v>3.51297083E8</v>
      </c>
      <c r="B264" s="4">
        <v>32.0</v>
      </c>
      <c r="C264" s="6">
        <v>46230.807280092595</v>
      </c>
      <c r="D264" s="5" t="s">
        <v>509</v>
      </c>
      <c r="E264" s="5" t="s">
        <v>507</v>
      </c>
      <c r="F264" s="5" t="s">
        <v>20</v>
      </c>
      <c r="L264" s="5" t="s">
        <v>21</v>
      </c>
      <c r="M264" s="5" t="s">
        <v>554</v>
      </c>
    </row>
    <row r="265">
      <c r="A265" s="4">
        <v>3.51297083E8</v>
      </c>
      <c r="B265" s="4">
        <v>32.0</v>
      </c>
      <c r="C265" s="6">
        <v>46230.807280092595</v>
      </c>
      <c r="D265" s="5" t="s">
        <v>509</v>
      </c>
      <c r="E265" s="5" t="s">
        <v>507</v>
      </c>
      <c r="F265" s="5" t="s">
        <v>20</v>
      </c>
      <c r="L265" s="5" t="s">
        <v>21</v>
      </c>
      <c r="M265" s="5" t="s">
        <v>555</v>
      </c>
    </row>
    <row r="266">
      <c r="A266" s="4">
        <v>3.51297083E8</v>
      </c>
      <c r="B266" s="4">
        <v>32.0</v>
      </c>
      <c r="C266" s="6">
        <v>46230.807280092595</v>
      </c>
      <c r="D266" s="5" t="s">
        <v>509</v>
      </c>
      <c r="E266" s="5" t="s">
        <v>507</v>
      </c>
      <c r="F266" s="5" t="s">
        <v>20</v>
      </c>
      <c r="L266" s="5" t="s">
        <v>21</v>
      </c>
      <c r="M266" s="5" t="s">
        <v>557</v>
      </c>
    </row>
    <row r="267">
      <c r="A267" s="4">
        <v>3.51297083E8</v>
      </c>
      <c r="B267" s="4">
        <v>32.0</v>
      </c>
      <c r="C267" s="6">
        <v>46230.807280092595</v>
      </c>
      <c r="D267" s="5" t="s">
        <v>509</v>
      </c>
      <c r="E267" s="5" t="s">
        <v>507</v>
      </c>
      <c r="F267" s="5" t="s">
        <v>20</v>
      </c>
      <c r="L267" s="5" t="s">
        <v>21</v>
      </c>
      <c r="M267" s="5" t="s">
        <v>559</v>
      </c>
    </row>
    <row r="268">
      <c r="A268" s="4">
        <v>3.51297083E8</v>
      </c>
      <c r="B268" s="4">
        <v>32.0</v>
      </c>
      <c r="C268" s="6">
        <v>46230.807280092595</v>
      </c>
      <c r="D268" s="5" t="s">
        <v>509</v>
      </c>
      <c r="E268" s="5" t="s">
        <v>507</v>
      </c>
      <c r="F268" s="5" t="s">
        <v>20</v>
      </c>
      <c r="L268" s="5" t="s">
        <v>21</v>
      </c>
      <c r="M268" s="5" t="s">
        <v>560</v>
      </c>
    </row>
    <row r="269">
      <c r="A269" s="4">
        <v>3.51297083E8</v>
      </c>
      <c r="B269" s="4">
        <v>32.0</v>
      </c>
      <c r="C269" s="6">
        <v>46230.807280092595</v>
      </c>
      <c r="D269" s="5" t="s">
        <v>509</v>
      </c>
      <c r="E269" s="5" t="s">
        <v>507</v>
      </c>
      <c r="F269" s="5" t="s">
        <v>20</v>
      </c>
      <c r="L269" s="5" t="s">
        <v>21</v>
      </c>
      <c r="M269" s="5" t="s">
        <v>561</v>
      </c>
    </row>
    <row r="270">
      <c r="A270" s="4">
        <v>3.51297083E8</v>
      </c>
      <c r="B270" s="4">
        <v>32.0</v>
      </c>
      <c r="C270" s="6">
        <v>46230.807280092595</v>
      </c>
      <c r="D270" s="5" t="s">
        <v>509</v>
      </c>
      <c r="E270" s="5" t="s">
        <v>507</v>
      </c>
      <c r="F270" s="5" t="s">
        <v>20</v>
      </c>
      <c r="L270" s="5" t="s">
        <v>21</v>
      </c>
      <c r="M270" s="5" t="s">
        <v>563</v>
      </c>
    </row>
    <row r="271">
      <c r="A271" s="4">
        <v>3.51297083E8</v>
      </c>
      <c r="B271" s="4">
        <v>32.0</v>
      </c>
      <c r="C271" s="6">
        <v>46230.807280092595</v>
      </c>
      <c r="D271" s="5" t="s">
        <v>509</v>
      </c>
      <c r="E271" s="5" t="s">
        <v>507</v>
      </c>
      <c r="F271" s="5" t="s">
        <v>20</v>
      </c>
      <c r="L271" s="5" t="s">
        <v>21</v>
      </c>
      <c r="M271" s="5" t="s">
        <v>565</v>
      </c>
    </row>
    <row r="272">
      <c r="A272" s="4">
        <v>3.51297083E8</v>
      </c>
      <c r="B272" s="4">
        <v>32.0</v>
      </c>
      <c r="C272" s="6">
        <v>46230.807280092595</v>
      </c>
      <c r="D272" s="5" t="s">
        <v>509</v>
      </c>
      <c r="E272" s="5" t="s">
        <v>507</v>
      </c>
      <c r="F272" s="5" t="s">
        <v>20</v>
      </c>
      <c r="L272" s="5" t="s">
        <v>21</v>
      </c>
      <c r="M272" s="5" t="s">
        <v>567</v>
      </c>
    </row>
    <row r="273">
      <c r="A273" s="4">
        <v>3.51297083E8</v>
      </c>
      <c r="B273" s="4">
        <v>32.0</v>
      </c>
      <c r="C273" s="6">
        <v>46230.807280092595</v>
      </c>
      <c r="D273" s="5" t="s">
        <v>509</v>
      </c>
      <c r="E273" s="5" t="s">
        <v>507</v>
      </c>
      <c r="F273" s="5" t="s">
        <v>20</v>
      </c>
      <c r="L273" s="5" t="s">
        <v>21</v>
      </c>
      <c r="M273" s="5" t="s">
        <v>569</v>
      </c>
    </row>
    <row r="274">
      <c r="A274" s="4">
        <v>3.51297083E8</v>
      </c>
      <c r="B274" s="4">
        <v>32.0</v>
      </c>
      <c r="C274" s="6">
        <v>46230.807280092595</v>
      </c>
      <c r="D274" s="5" t="s">
        <v>509</v>
      </c>
      <c r="E274" s="5" t="s">
        <v>507</v>
      </c>
      <c r="F274" s="5" t="s">
        <v>20</v>
      </c>
      <c r="L274" s="5" t="s">
        <v>21</v>
      </c>
      <c r="M274" s="5" t="s">
        <v>570</v>
      </c>
    </row>
    <row r="275">
      <c r="A275" s="4">
        <v>3.51297083E8</v>
      </c>
      <c r="B275" s="4">
        <v>32.0</v>
      </c>
      <c r="C275" s="6">
        <v>46230.807280092595</v>
      </c>
      <c r="D275" s="5" t="s">
        <v>509</v>
      </c>
      <c r="E275" s="5" t="s">
        <v>507</v>
      </c>
      <c r="F275" s="5" t="s">
        <v>20</v>
      </c>
      <c r="L275" s="5" t="s">
        <v>21</v>
      </c>
      <c r="M275" s="5" t="s">
        <v>571</v>
      </c>
    </row>
    <row r="276">
      <c r="A276" s="4">
        <v>3.51297083E8</v>
      </c>
      <c r="B276" s="4">
        <v>32.0</v>
      </c>
      <c r="C276" s="6">
        <v>46230.807280092595</v>
      </c>
      <c r="D276" s="5" t="s">
        <v>509</v>
      </c>
      <c r="E276" s="5" t="s">
        <v>507</v>
      </c>
      <c r="F276" s="5" t="s">
        <v>20</v>
      </c>
      <c r="L276" s="5" t="s">
        <v>21</v>
      </c>
      <c r="M276" s="5" t="s">
        <v>572</v>
      </c>
    </row>
    <row r="277">
      <c r="A277" s="4">
        <v>3.51297083E8</v>
      </c>
      <c r="B277" s="4">
        <v>32.0</v>
      </c>
      <c r="C277" s="6">
        <v>46230.807280092595</v>
      </c>
      <c r="D277" s="5" t="s">
        <v>509</v>
      </c>
      <c r="E277" s="5" t="s">
        <v>507</v>
      </c>
      <c r="F277" s="5" t="s">
        <v>20</v>
      </c>
      <c r="L277" s="5" t="s">
        <v>21</v>
      </c>
      <c r="M277" s="5" t="s">
        <v>574</v>
      </c>
    </row>
    <row r="278">
      <c r="A278" s="4">
        <v>3.51297083E8</v>
      </c>
      <c r="B278" s="4">
        <v>32.0</v>
      </c>
      <c r="C278" s="6">
        <v>46230.807280092595</v>
      </c>
      <c r="D278" s="5" t="s">
        <v>509</v>
      </c>
      <c r="E278" s="5" t="s">
        <v>507</v>
      </c>
      <c r="F278" s="5" t="s">
        <v>20</v>
      </c>
      <c r="L278" s="5" t="s">
        <v>21</v>
      </c>
      <c r="M278" s="5" t="s">
        <v>575</v>
      </c>
    </row>
    <row r="279">
      <c r="A279" s="4">
        <v>3.51297083E8</v>
      </c>
      <c r="B279" s="4">
        <v>34.0</v>
      </c>
      <c r="C279" s="6">
        <v>46230.8790625</v>
      </c>
      <c r="D279" s="5" t="s">
        <v>533</v>
      </c>
      <c r="E279" s="5" t="s">
        <v>312</v>
      </c>
      <c r="F279" s="5" t="s">
        <v>20</v>
      </c>
      <c r="H279" s="5">
        <v>1301.0</v>
      </c>
      <c r="I279" s="5" t="s">
        <v>576</v>
      </c>
      <c r="J279" s="4">
        <v>1.0</v>
      </c>
      <c r="K279" s="5" t="s">
        <v>577</v>
      </c>
      <c r="L279" s="5" t="s">
        <v>122</v>
      </c>
      <c r="M279" s="5" t="s">
        <v>578</v>
      </c>
    </row>
    <row r="280">
      <c r="A280" s="4">
        <v>3.51297083E8</v>
      </c>
      <c r="B280" s="4">
        <v>34.0</v>
      </c>
      <c r="C280" s="6">
        <v>46230.8790625</v>
      </c>
      <c r="D280" s="5" t="s">
        <v>533</v>
      </c>
      <c r="E280" s="5" t="s">
        <v>312</v>
      </c>
      <c r="F280" s="5" t="s">
        <v>20</v>
      </c>
      <c r="H280" s="5">
        <v>1041.0</v>
      </c>
      <c r="I280" s="5" t="s">
        <v>580</v>
      </c>
      <c r="J280" s="4">
        <v>1.0</v>
      </c>
      <c r="K280" s="5" t="s">
        <v>577</v>
      </c>
      <c r="L280" s="5" t="s">
        <v>122</v>
      </c>
      <c r="M280" s="5" t="s">
        <v>581</v>
      </c>
    </row>
    <row r="281">
      <c r="A281" s="4">
        <v>3.51297083E8</v>
      </c>
      <c r="B281" s="4">
        <v>34.0</v>
      </c>
      <c r="C281" s="6">
        <v>46230.8790625</v>
      </c>
      <c r="D281" s="5" t="s">
        <v>533</v>
      </c>
      <c r="E281" s="5" t="s">
        <v>312</v>
      </c>
      <c r="F281" s="5" t="s">
        <v>20</v>
      </c>
      <c r="H281" s="5">
        <v>1271.0</v>
      </c>
      <c r="I281" s="5" t="s">
        <v>236</v>
      </c>
      <c r="J281" s="4">
        <v>1.0</v>
      </c>
      <c r="K281" s="5" t="s">
        <v>577</v>
      </c>
      <c r="L281" s="5" t="s">
        <v>122</v>
      </c>
      <c r="M281" s="5" t="s">
        <v>583</v>
      </c>
    </row>
    <row r="282">
      <c r="A282" s="4">
        <v>3.51297083E8</v>
      </c>
      <c r="B282" s="4">
        <v>34.0</v>
      </c>
      <c r="C282" s="6">
        <v>46230.8790625</v>
      </c>
      <c r="D282" s="5" t="s">
        <v>533</v>
      </c>
      <c r="E282" s="5" t="s">
        <v>312</v>
      </c>
      <c r="F282" s="5" t="s">
        <v>20</v>
      </c>
      <c r="H282" s="5">
        <v>1799.0</v>
      </c>
      <c r="I282" s="5" t="s">
        <v>584</v>
      </c>
      <c r="J282" s="4">
        <v>1.0</v>
      </c>
      <c r="K282" s="5" t="s">
        <v>577</v>
      </c>
      <c r="L282" s="5" t="s">
        <v>122</v>
      </c>
      <c r="M282" s="5" t="s">
        <v>585</v>
      </c>
    </row>
    <row r="283">
      <c r="A283" s="4">
        <v>3.51297083E8</v>
      </c>
      <c r="B283" s="4">
        <v>34.0</v>
      </c>
      <c r="C283" s="6">
        <v>46230.8790625</v>
      </c>
      <c r="D283" s="5" t="s">
        <v>533</v>
      </c>
      <c r="E283" s="5" t="s">
        <v>312</v>
      </c>
      <c r="F283" s="5" t="s">
        <v>20</v>
      </c>
      <c r="H283" s="5">
        <v>1659.0</v>
      </c>
      <c r="I283" s="5" t="s">
        <v>586</v>
      </c>
      <c r="J283" s="4">
        <v>1.0</v>
      </c>
      <c r="K283" s="5" t="s">
        <v>577</v>
      </c>
      <c r="L283" s="5" t="s">
        <v>122</v>
      </c>
      <c r="M283" s="5" t="s">
        <v>587</v>
      </c>
    </row>
    <row r="284">
      <c r="A284" s="4">
        <v>3.51297083E8</v>
      </c>
      <c r="B284" s="4">
        <v>34.0</v>
      </c>
      <c r="C284" s="6">
        <v>46230.8790625</v>
      </c>
      <c r="D284" s="5" t="s">
        <v>533</v>
      </c>
      <c r="E284" s="5" t="s">
        <v>312</v>
      </c>
      <c r="F284" s="5" t="s">
        <v>20</v>
      </c>
      <c r="H284" s="5">
        <v>1779.0</v>
      </c>
      <c r="I284" s="5" t="s">
        <v>239</v>
      </c>
      <c r="J284" s="4">
        <v>2.0</v>
      </c>
      <c r="K284" s="5" t="s">
        <v>577</v>
      </c>
      <c r="L284" s="5" t="s">
        <v>122</v>
      </c>
      <c r="M284" s="5" t="s">
        <v>589</v>
      </c>
    </row>
    <row r="285">
      <c r="A285" s="4">
        <v>3.51297083E8</v>
      </c>
      <c r="B285" s="4">
        <v>34.0</v>
      </c>
      <c r="C285" s="6">
        <v>46230.8790625</v>
      </c>
      <c r="D285" s="5" t="s">
        <v>533</v>
      </c>
      <c r="E285" s="5" t="s">
        <v>312</v>
      </c>
      <c r="F285" s="5" t="s">
        <v>20</v>
      </c>
      <c r="H285" s="5">
        <v>1739.0</v>
      </c>
      <c r="I285" s="5" t="s">
        <v>590</v>
      </c>
      <c r="J285" s="4">
        <v>2.0</v>
      </c>
      <c r="K285" s="5" t="s">
        <v>577</v>
      </c>
      <c r="L285" s="5" t="s">
        <v>122</v>
      </c>
      <c r="M285" s="5" t="s">
        <v>591</v>
      </c>
    </row>
    <row r="286">
      <c r="A286" s="4">
        <v>3.51297083E8</v>
      </c>
      <c r="B286" s="4">
        <v>34.0</v>
      </c>
      <c r="C286" s="6">
        <v>46230.8790625</v>
      </c>
      <c r="D286" s="5" t="s">
        <v>533</v>
      </c>
      <c r="E286" s="5" t="s">
        <v>312</v>
      </c>
      <c r="F286" s="5" t="s">
        <v>20</v>
      </c>
      <c r="H286" s="5">
        <v>1019.0</v>
      </c>
      <c r="I286" s="5" t="s">
        <v>592</v>
      </c>
      <c r="J286" s="4">
        <v>1.0</v>
      </c>
      <c r="K286" s="5" t="s">
        <v>577</v>
      </c>
      <c r="L286" s="5" t="s">
        <v>122</v>
      </c>
      <c r="M286" s="5" t="s">
        <v>594</v>
      </c>
    </row>
    <row r="287">
      <c r="A287" s="4">
        <v>3.51297083E8</v>
      </c>
      <c r="B287" s="4">
        <v>34.0</v>
      </c>
      <c r="C287" s="6">
        <v>46230.8790625</v>
      </c>
      <c r="D287" s="5" t="s">
        <v>533</v>
      </c>
      <c r="E287" s="5" t="s">
        <v>312</v>
      </c>
      <c r="F287" s="5" t="s">
        <v>20</v>
      </c>
      <c r="H287" s="5">
        <v>1874.0</v>
      </c>
      <c r="I287" s="5" t="s">
        <v>595</v>
      </c>
      <c r="J287" s="4">
        <v>1.0</v>
      </c>
      <c r="K287" s="5" t="s">
        <v>577</v>
      </c>
      <c r="L287" s="5" t="s">
        <v>122</v>
      </c>
      <c r="M287" s="5" t="s">
        <v>596</v>
      </c>
    </row>
    <row r="288">
      <c r="A288" s="4">
        <v>3.51297083E8</v>
      </c>
      <c r="B288" s="4">
        <v>34.0</v>
      </c>
      <c r="C288" s="6">
        <v>46230.8790625</v>
      </c>
      <c r="D288" s="5" t="s">
        <v>533</v>
      </c>
      <c r="E288" s="5" t="s">
        <v>312</v>
      </c>
      <c r="F288" s="5" t="s">
        <v>20</v>
      </c>
      <c r="H288" s="5">
        <v>1333.0</v>
      </c>
      <c r="I288" s="5" t="s">
        <v>356</v>
      </c>
      <c r="J288" s="4">
        <v>1.0</v>
      </c>
      <c r="K288" s="5" t="s">
        <v>577</v>
      </c>
      <c r="L288" s="5" t="s">
        <v>122</v>
      </c>
      <c r="M288" s="5" t="s">
        <v>597</v>
      </c>
    </row>
    <row r="289">
      <c r="A289" s="4">
        <v>3.51297083E8</v>
      </c>
      <c r="B289" s="4">
        <v>34.0</v>
      </c>
      <c r="C289" s="6">
        <v>46230.8790625</v>
      </c>
      <c r="D289" s="5" t="s">
        <v>533</v>
      </c>
      <c r="E289" s="5" t="s">
        <v>312</v>
      </c>
      <c r="F289" s="5" t="s">
        <v>20</v>
      </c>
      <c r="H289" s="5">
        <v>1703.0</v>
      </c>
      <c r="I289" s="5" t="s">
        <v>284</v>
      </c>
      <c r="J289" s="4">
        <v>2.0</v>
      </c>
      <c r="K289" s="5" t="s">
        <v>577</v>
      </c>
      <c r="L289" s="5" t="s">
        <v>122</v>
      </c>
      <c r="M289" s="5" t="s">
        <v>600</v>
      </c>
    </row>
    <row r="290">
      <c r="A290" s="4">
        <v>3.51297083E8</v>
      </c>
      <c r="B290" s="4">
        <v>34.0</v>
      </c>
      <c r="C290" s="6">
        <v>46230.8790625</v>
      </c>
      <c r="D290" s="5" t="s">
        <v>533</v>
      </c>
      <c r="E290" s="5" t="s">
        <v>312</v>
      </c>
      <c r="F290" s="5" t="s">
        <v>20</v>
      </c>
      <c r="H290" s="5">
        <v>1373.0</v>
      </c>
      <c r="I290" s="5" t="s">
        <v>602</v>
      </c>
      <c r="J290" s="4">
        <v>1.0</v>
      </c>
      <c r="K290" s="5" t="s">
        <v>577</v>
      </c>
      <c r="L290" s="5" t="s">
        <v>122</v>
      </c>
      <c r="M290" s="5" t="s">
        <v>603</v>
      </c>
    </row>
    <row r="291">
      <c r="A291" s="4">
        <v>3.51297083E8</v>
      </c>
      <c r="B291" s="4">
        <v>34.0</v>
      </c>
      <c r="C291" s="6">
        <v>46230.8790625</v>
      </c>
      <c r="D291" s="5" t="s">
        <v>533</v>
      </c>
      <c r="E291" s="5" t="s">
        <v>312</v>
      </c>
      <c r="F291" s="5" t="s">
        <v>20</v>
      </c>
      <c r="H291" s="5">
        <v>1675.0</v>
      </c>
      <c r="I291" s="5" t="s">
        <v>605</v>
      </c>
      <c r="J291" s="4">
        <v>1.0</v>
      </c>
      <c r="K291" s="5" t="s">
        <v>577</v>
      </c>
      <c r="L291" s="5" t="s">
        <v>122</v>
      </c>
      <c r="M291" s="5" t="s">
        <v>606</v>
      </c>
    </row>
    <row r="292">
      <c r="A292" s="4">
        <v>3.51297083E8</v>
      </c>
      <c r="B292" s="4">
        <v>34.0</v>
      </c>
      <c r="C292" s="6">
        <v>46230.8790625</v>
      </c>
      <c r="D292" s="5" t="s">
        <v>533</v>
      </c>
      <c r="E292" s="5" t="s">
        <v>312</v>
      </c>
      <c r="F292" s="5" t="s">
        <v>20</v>
      </c>
      <c r="H292" s="5">
        <v>1769.0</v>
      </c>
      <c r="I292" s="5" t="s">
        <v>607</v>
      </c>
      <c r="J292" s="4">
        <v>1.0</v>
      </c>
      <c r="K292" s="5" t="s">
        <v>577</v>
      </c>
      <c r="L292" s="5" t="s">
        <v>122</v>
      </c>
      <c r="M292" s="5" t="s">
        <v>608</v>
      </c>
    </row>
    <row r="293">
      <c r="A293" s="4">
        <v>3.51297083E8</v>
      </c>
      <c r="B293" s="4">
        <v>34.0</v>
      </c>
      <c r="C293" s="6">
        <v>46230.8790625</v>
      </c>
      <c r="D293" s="5" t="s">
        <v>533</v>
      </c>
      <c r="E293" s="5" t="s">
        <v>312</v>
      </c>
      <c r="F293" s="5" t="s">
        <v>20</v>
      </c>
      <c r="H293" s="5">
        <v>1313.0</v>
      </c>
      <c r="I293" s="5" t="s">
        <v>218</v>
      </c>
      <c r="J293" s="4">
        <v>1.0</v>
      </c>
      <c r="K293" s="5" t="s">
        <v>577</v>
      </c>
      <c r="L293" s="5" t="s">
        <v>122</v>
      </c>
      <c r="M293" s="5" t="s">
        <v>610</v>
      </c>
    </row>
    <row r="294">
      <c r="A294" s="4">
        <v>3.51297083E8</v>
      </c>
      <c r="B294" s="4">
        <v>34.0</v>
      </c>
      <c r="C294" s="6">
        <v>46230.8790625</v>
      </c>
      <c r="D294" s="5" t="s">
        <v>533</v>
      </c>
      <c r="E294" s="5" t="s">
        <v>312</v>
      </c>
      <c r="F294" s="5" t="s">
        <v>20</v>
      </c>
      <c r="H294" s="5">
        <v>1779.0</v>
      </c>
      <c r="I294" s="5" t="s">
        <v>239</v>
      </c>
      <c r="K294" s="5" t="s">
        <v>612</v>
      </c>
      <c r="L294" s="5" t="s">
        <v>613</v>
      </c>
      <c r="M294" s="5" t="s">
        <v>615</v>
      </c>
    </row>
    <row r="295">
      <c r="A295" s="4">
        <v>3.51297083E8</v>
      </c>
      <c r="B295" s="4">
        <v>34.0</v>
      </c>
      <c r="C295" s="6">
        <v>46230.8790625</v>
      </c>
      <c r="D295" s="5" t="s">
        <v>533</v>
      </c>
      <c r="E295" s="5" t="s">
        <v>312</v>
      </c>
      <c r="F295" s="5" t="s">
        <v>20</v>
      </c>
      <c r="H295" s="5">
        <v>1803.0</v>
      </c>
      <c r="I295" s="5" t="s">
        <v>616</v>
      </c>
      <c r="K295" s="5" t="s">
        <v>612</v>
      </c>
      <c r="L295" s="5" t="s">
        <v>613</v>
      </c>
      <c r="M295" s="5" t="s">
        <v>617</v>
      </c>
    </row>
    <row r="296">
      <c r="A296" s="4">
        <v>3.51297083E8</v>
      </c>
      <c r="B296" s="4">
        <v>34.0</v>
      </c>
      <c r="C296" s="6">
        <v>46230.8790625</v>
      </c>
      <c r="D296" s="5" t="s">
        <v>533</v>
      </c>
      <c r="E296" s="5" t="s">
        <v>312</v>
      </c>
      <c r="F296" s="5" t="s">
        <v>20</v>
      </c>
      <c r="H296" s="5">
        <v>1399.0</v>
      </c>
      <c r="I296" s="5" t="s">
        <v>618</v>
      </c>
      <c r="K296" s="5" t="s">
        <v>612</v>
      </c>
      <c r="L296" s="5" t="s">
        <v>613</v>
      </c>
      <c r="M296" s="5" t="s">
        <v>619</v>
      </c>
    </row>
    <row r="297">
      <c r="A297" s="4">
        <v>3.51297083E8</v>
      </c>
      <c r="B297" s="4">
        <v>34.0</v>
      </c>
      <c r="C297" s="6">
        <v>46230.8790625</v>
      </c>
      <c r="D297" s="5" t="s">
        <v>533</v>
      </c>
      <c r="E297" s="5" t="s">
        <v>312</v>
      </c>
      <c r="F297" s="5" t="s">
        <v>20</v>
      </c>
      <c r="H297" s="5">
        <v>1287.0</v>
      </c>
      <c r="I297" s="5" t="s">
        <v>621</v>
      </c>
      <c r="K297" s="5" t="s">
        <v>612</v>
      </c>
      <c r="L297" s="5" t="s">
        <v>613</v>
      </c>
      <c r="M297" s="5" t="s">
        <v>622</v>
      </c>
    </row>
    <row r="298">
      <c r="A298" s="4">
        <v>3.51297083E8</v>
      </c>
      <c r="B298" s="4">
        <v>34.0</v>
      </c>
      <c r="C298" s="6">
        <v>46230.8790625</v>
      </c>
      <c r="D298" s="5" t="s">
        <v>533</v>
      </c>
      <c r="E298" s="5" t="s">
        <v>312</v>
      </c>
      <c r="F298" s="5" t="s">
        <v>20</v>
      </c>
      <c r="H298" s="5">
        <v>2031.0</v>
      </c>
      <c r="I298" s="5" t="s">
        <v>624</v>
      </c>
      <c r="K298" s="5" t="s">
        <v>612</v>
      </c>
      <c r="L298" s="5" t="s">
        <v>613</v>
      </c>
      <c r="M298" s="5" t="s">
        <v>625</v>
      </c>
    </row>
    <row r="299">
      <c r="A299" s="4">
        <v>3.51297083E8</v>
      </c>
      <c r="B299" s="4">
        <v>34.0</v>
      </c>
      <c r="C299" s="6">
        <v>46230.8790625</v>
      </c>
      <c r="D299" s="5" t="s">
        <v>533</v>
      </c>
      <c r="E299" s="5" t="s">
        <v>312</v>
      </c>
      <c r="F299" s="5" t="s">
        <v>20</v>
      </c>
      <c r="H299" s="5">
        <v>1321.0</v>
      </c>
      <c r="I299" s="5" t="s">
        <v>626</v>
      </c>
      <c r="K299" s="5" t="s">
        <v>627</v>
      </c>
      <c r="L299" s="5" t="s">
        <v>613</v>
      </c>
      <c r="M299" s="5" t="s">
        <v>628</v>
      </c>
    </row>
    <row r="300">
      <c r="A300" s="4">
        <v>3.51297083E8</v>
      </c>
      <c r="B300" s="4">
        <v>34.0</v>
      </c>
      <c r="C300" s="6">
        <v>46230.8790625</v>
      </c>
      <c r="D300" s="5" t="s">
        <v>533</v>
      </c>
      <c r="E300" s="5" t="s">
        <v>312</v>
      </c>
      <c r="F300" s="5" t="s">
        <v>20</v>
      </c>
      <c r="H300" s="5">
        <v>1931.0</v>
      </c>
      <c r="I300" s="5" t="s">
        <v>629</v>
      </c>
      <c r="K300" s="5" t="s">
        <v>627</v>
      </c>
      <c r="L300" s="5" t="s">
        <v>613</v>
      </c>
      <c r="M300" s="5" t="s">
        <v>630</v>
      </c>
    </row>
    <row r="301">
      <c r="A301" s="4">
        <v>3.51297083E8</v>
      </c>
      <c r="B301" s="4">
        <v>34.0</v>
      </c>
      <c r="C301" s="6">
        <v>46230.8790625</v>
      </c>
      <c r="D301" s="5" t="s">
        <v>533</v>
      </c>
      <c r="E301" s="5" t="s">
        <v>312</v>
      </c>
      <c r="F301" s="5" t="s">
        <v>20</v>
      </c>
      <c r="H301" s="5">
        <v>1503.0</v>
      </c>
      <c r="I301" s="5" t="s">
        <v>633</v>
      </c>
      <c r="K301" s="5" t="s">
        <v>627</v>
      </c>
      <c r="L301" s="5" t="s">
        <v>613</v>
      </c>
      <c r="M301" s="5" t="s">
        <v>634</v>
      </c>
    </row>
    <row r="302">
      <c r="A302" s="4">
        <v>3.51297083E8</v>
      </c>
      <c r="B302" s="4">
        <v>34.0</v>
      </c>
      <c r="C302" s="6">
        <v>46230.8790625</v>
      </c>
      <c r="D302" s="5" t="s">
        <v>533</v>
      </c>
      <c r="E302" s="5" t="s">
        <v>312</v>
      </c>
      <c r="F302" s="5" t="s">
        <v>20</v>
      </c>
      <c r="H302" s="5">
        <v>1301.0</v>
      </c>
      <c r="I302" s="5" t="s">
        <v>576</v>
      </c>
      <c r="K302" s="5" t="s">
        <v>627</v>
      </c>
      <c r="L302" s="5" t="s">
        <v>613</v>
      </c>
      <c r="M302" s="5" t="s">
        <v>636</v>
      </c>
    </row>
    <row r="303">
      <c r="A303" s="4">
        <v>3.51297083E8</v>
      </c>
      <c r="B303" s="4">
        <v>34.0</v>
      </c>
      <c r="C303" s="6">
        <v>46230.8790625</v>
      </c>
      <c r="D303" s="5" t="s">
        <v>533</v>
      </c>
      <c r="E303" s="5" t="s">
        <v>312</v>
      </c>
      <c r="F303" s="5" t="s">
        <v>20</v>
      </c>
      <c r="H303" s="5">
        <v>1683.0</v>
      </c>
      <c r="I303" s="5" t="s">
        <v>637</v>
      </c>
      <c r="K303" s="5" t="s">
        <v>627</v>
      </c>
      <c r="L303" s="5" t="s">
        <v>613</v>
      </c>
      <c r="M303" s="5" t="s">
        <v>638</v>
      </c>
    </row>
    <row r="304">
      <c r="A304" s="4">
        <v>3.51297083E8</v>
      </c>
      <c r="B304" s="4">
        <v>34.0</v>
      </c>
      <c r="C304" s="6">
        <v>46230.8790625</v>
      </c>
      <c r="D304" s="5" t="s">
        <v>533</v>
      </c>
      <c r="E304" s="5" t="s">
        <v>312</v>
      </c>
      <c r="F304" s="5" t="s">
        <v>20</v>
      </c>
      <c r="H304" s="5">
        <v>1707.0</v>
      </c>
      <c r="I304" s="5" t="s">
        <v>640</v>
      </c>
      <c r="K304" s="5" t="s">
        <v>627</v>
      </c>
      <c r="L304" s="5" t="s">
        <v>613</v>
      </c>
      <c r="M304" s="5" t="s">
        <v>641</v>
      </c>
    </row>
    <row r="305">
      <c r="A305" s="4">
        <v>3.51297083E8</v>
      </c>
      <c r="B305" s="4">
        <v>35.0</v>
      </c>
      <c r="C305" s="6">
        <v>46230.90630787037</v>
      </c>
      <c r="D305" s="5" t="s">
        <v>540</v>
      </c>
      <c r="E305" s="5" t="s">
        <v>539</v>
      </c>
      <c r="F305" s="5" t="s">
        <v>90</v>
      </c>
      <c r="L305" s="5" t="s">
        <v>21</v>
      </c>
      <c r="M305" s="5" t="s">
        <v>643</v>
      </c>
    </row>
    <row r="306">
      <c r="A306" s="4">
        <v>3.51297083E8</v>
      </c>
      <c r="B306" s="4">
        <v>35.0</v>
      </c>
      <c r="C306" s="6">
        <v>46230.90630787037</v>
      </c>
      <c r="D306" s="5" t="s">
        <v>540</v>
      </c>
      <c r="E306" s="5" t="s">
        <v>539</v>
      </c>
      <c r="F306" s="5" t="s">
        <v>90</v>
      </c>
      <c r="L306" s="5" t="s">
        <v>21</v>
      </c>
      <c r="M306" s="5" t="s">
        <v>644</v>
      </c>
    </row>
    <row r="307">
      <c r="A307" s="4">
        <v>3.51297083E8</v>
      </c>
      <c r="B307" s="4">
        <v>35.0</v>
      </c>
      <c r="C307" s="6">
        <v>46230.90630787037</v>
      </c>
      <c r="D307" s="5" t="s">
        <v>540</v>
      </c>
      <c r="E307" s="5" t="s">
        <v>539</v>
      </c>
      <c r="F307" s="5" t="s">
        <v>90</v>
      </c>
      <c r="L307" s="5" t="s">
        <v>21</v>
      </c>
      <c r="M307" s="5" t="s">
        <v>646</v>
      </c>
    </row>
    <row r="308">
      <c r="A308" s="4">
        <v>3.51297083E8</v>
      </c>
      <c r="B308" s="4">
        <v>35.0</v>
      </c>
      <c r="C308" s="6">
        <v>46230.90630787037</v>
      </c>
      <c r="D308" s="5" t="s">
        <v>540</v>
      </c>
      <c r="E308" s="5" t="s">
        <v>539</v>
      </c>
      <c r="F308" s="5" t="s">
        <v>90</v>
      </c>
      <c r="L308" s="5" t="s">
        <v>21</v>
      </c>
      <c r="M308" s="5" t="s">
        <v>647</v>
      </c>
    </row>
    <row r="309">
      <c r="A309" s="4">
        <v>3.51297083E8</v>
      </c>
      <c r="B309" s="4">
        <v>36.0</v>
      </c>
      <c r="C309" s="6">
        <v>46230.910104166665</v>
      </c>
      <c r="D309" s="5" t="s">
        <v>549</v>
      </c>
      <c r="E309" s="5" t="s">
        <v>548</v>
      </c>
      <c r="F309" s="5" t="s">
        <v>20</v>
      </c>
      <c r="L309" s="5" t="s">
        <v>21</v>
      </c>
      <c r="M309" s="5" t="s">
        <v>649</v>
      </c>
    </row>
    <row r="310">
      <c r="A310" s="4">
        <v>3.51297083E8</v>
      </c>
      <c r="B310" s="4">
        <v>36.0</v>
      </c>
      <c r="C310" s="6">
        <v>46230.910104166665</v>
      </c>
      <c r="D310" s="5" t="s">
        <v>549</v>
      </c>
      <c r="E310" s="5" t="s">
        <v>548</v>
      </c>
      <c r="F310" s="5" t="s">
        <v>20</v>
      </c>
      <c r="L310" s="5" t="s">
        <v>21</v>
      </c>
      <c r="M310" s="5" t="s">
        <v>651</v>
      </c>
    </row>
    <row r="311">
      <c r="A311" s="4">
        <v>3.51297083E8</v>
      </c>
      <c r="B311" s="4">
        <v>36.0</v>
      </c>
      <c r="C311" s="6">
        <v>46230.910104166665</v>
      </c>
      <c r="D311" s="5" t="s">
        <v>549</v>
      </c>
      <c r="E311" s="5" t="s">
        <v>548</v>
      </c>
      <c r="F311" s="5" t="s">
        <v>20</v>
      </c>
      <c r="L311" s="5" t="s">
        <v>21</v>
      </c>
      <c r="M311" s="5" t="s">
        <v>653</v>
      </c>
    </row>
    <row r="312">
      <c r="A312" s="4">
        <v>3.51297083E8</v>
      </c>
      <c r="B312" s="4">
        <v>36.0</v>
      </c>
      <c r="C312" s="6">
        <v>46230.910104166665</v>
      </c>
      <c r="D312" s="5" t="s">
        <v>549</v>
      </c>
      <c r="E312" s="5" t="s">
        <v>548</v>
      </c>
      <c r="F312" s="5" t="s">
        <v>20</v>
      </c>
      <c r="L312" s="5" t="s">
        <v>21</v>
      </c>
      <c r="M312" s="5" t="s">
        <v>654</v>
      </c>
    </row>
    <row r="313">
      <c r="A313" s="4">
        <v>3.51297083E8</v>
      </c>
      <c r="B313" s="4">
        <v>36.0</v>
      </c>
      <c r="C313" s="6">
        <v>46230.910104166665</v>
      </c>
      <c r="D313" s="5" t="s">
        <v>549</v>
      </c>
      <c r="E313" s="5" t="s">
        <v>548</v>
      </c>
      <c r="F313" s="5" t="s">
        <v>20</v>
      </c>
      <c r="L313" s="5" t="s">
        <v>21</v>
      </c>
      <c r="M313" s="5" t="s">
        <v>655</v>
      </c>
    </row>
    <row r="314">
      <c r="A314" s="4">
        <v>3.51297083E8</v>
      </c>
      <c r="B314" s="4">
        <v>36.0</v>
      </c>
      <c r="C314" s="6">
        <v>46230.910104166665</v>
      </c>
      <c r="D314" s="5" t="s">
        <v>549</v>
      </c>
      <c r="E314" s="5" t="s">
        <v>548</v>
      </c>
      <c r="F314" s="5" t="s">
        <v>20</v>
      </c>
      <c r="L314" s="5" t="s">
        <v>21</v>
      </c>
      <c r="M314" s="5" t="s">
        <v>657</v>
      </c>
    </row>
    <row r="315">
      <c r="A315" s="4">
        <v>3.51297083E8</v>
      </c>
      <c r="B315" s="4">
        <v>37.0</v>
      </c>
      <c r="C315" s="6">
        <v>46230.928877314815</v>
      </c>
      <c r="D315" s="5" t="s">
        <v>556</v>
      </c>
      <c r="E315" s="5" t="s">
        <v>494</v>
      </c>
      <c r="F315" s="5" t="s">
        <v>20</v>
      </c>
      <c r="L315" s="5" t="s">
        <v>21</v>
      </c>
      <c r="M315" s="5" t="s">
        <v>658</v>
      </c>
    </row>
    <row r="316">
      <c r="A316" s="4">
        <v>3.51297083E8</v>
      </c>
      <c r="B316" s="4">
        <v>37.0</v>
      </c>
      <c r="C316" s="6">
        <v>46230.928877314815</v>
      </c>
      <c r="D316" s="5" t="s">
        <v>556</v>
      </c>
      <c r="E316" s="5" t="s">
        <v>494</v>
      </c>
      <c r="F316" s="5" t="s">
        <v>20</v>
      </c>
      <c r="L316" s="5" t="s">
        <v>21</v>
      </c>
      <c r="M316" s="5" t="s">
        <v>660</v>
      </c>
    </row>
    <row r="317">
      <c r="A317" s="4">
        <v>3.51297083E8</v>
      </c>
      <c r="B317" s="4">
        <v>37.0</v>
      </c>
      <c r="C317" s="6">
        <v>46230.928877314815</v>
      </c>
      <c r="D317" s="5" t="s">
        <v>556</v>
      </c>
      <c r="E317" s="5" t="s">
        <v>494</v>
      </c>
      <c r="F317" s="5" t="s">
        <v>20</v>
      </c>
      <c r="L317" s="5" t="s">
        <v>21</v>
      </c>
      <c r="M317" s="5" t="s">
        <v>662</v>
      </c>
    </row>
    <row r="318">
      <c r="A318" s="4">
        <v>3.51297083E8</v>
      </c>
      <c r="B318" s="4">
        <v>37.0</v>
      </c>
      <c r="C318" s="6">
        <v>46230.928877314815</v>
      </c>
      <c r="D318" s="5" t="s">
        <v>556</v>
      </c>
      <c r="E318" s="5" t="s">
        <v>494</v>
      </c>
      <c r="F318" s="5" t="s">
        <v>20</v>
      </c>
      <c r="L318" s="5" t="s">
        <v>21</v>
      </c>
      <c r="M318" s="5" t="s">
        <v>664</v>
      </c>
    </row>
    <row r="319">
      <c r="A319" s="4">
        <v>3.51297083E8</v>
      </c>
      <c r="B319" s="4">
        <v>38.0</v>
      </c>
      <c r="C319" s="6">
        <v>46230.94474537037</v>
      </c>
      <c r="D319" s="5" t="s">
        <v>566</v>
      </c>
      <c r="E319" s="5" t="s">
        <v>564</v>
      </c>
      <c r="F319" s="5" t="s">
        <v>90</v>
      </c>
      <c r="L319" s="5" t="s">
        <v>21</v>
      </c>
      <c r="M319" s="5" t="s">
        <v>568</v>
      </c>
    </row>
    <row r="320">
      <c r="A320" s="4">
        <v>3.51297083E8</v>
      </c>
      <c r="B320" s="4">
        <v>40.0</v>
      </c>
      <c r="C320" s="6">
        <v>46230.948912037034</v>
      </c>
      <c r="D320" s="5" t="s">
        <v>579</v>
      </c>
      <c r="E320" s="5" t="s">
        <v>89</v>
      </c>
      <c r="F320" s="5" t="s">
        <v>90</v>
      </c>
      <c r="L320" s="5" t="s">
        <v>21</v>
      </c>
      <c r="M320" s="5" t="s">
        <v>666</v>
      </c>
    </row>
    <row r="321">
      <c r="A321" s="4">
        <v>3.51297083E8</v>
      </c>
      <c r="B321" s="4">
        <v>40.0</v>
      </c>
      <c r="C321" s="6">
        <v>46230.948912037034</v>
      </c>
      <c r="D321" s="5" t="s">
        <v>579</v>
      </c>
      <c r="E321" s="5" t="s">
        <v>89</v>
      </c>
      <c r="F321" s="5" t="s">
        <v>90</v>
      </c>
      <c r="L321" s="5" t="s">
        <v>21</v>
      </c>
      <c r="M321" s="5" t="s">
        <v>667</v>
      </c>
    </row>
    <row r="322">
      <c r="A322" s="4">
        <v>3.51297083E8</v>
      </c>
      <c r="B322" s="4">
        <v>40.0</v>
      </c>
      <c r="C322" s="6">
        <v>46230.948912037034</v>
      </c>
      <c r="D322" s="5" t="s">
        <v>579</v>
      </c>
      <c r="E322" s="5" t="s">
        <v>89</v>
      </c>
      <c r="F322" s="5" t="s">
        <v>90</v>
      </c>
      <c r="L322" s="5" t="s">
        <v>21</v>
      </c>
      <c r="M322" s="5" t="s">
        <v>668</v>
      </c>
    </row>
    <row r="323">
      <c r="A323" s="4">
        <v>3.51297083E8</v>
      </c>
      <c r="B323" s="4">
        <v>40.0</v>
      </c>
      <c r="C323" s="6">
        <v>46230.948912037034</v>
      </c>
      <c r="D323" s="5" t="s">
        <v>579</v>
      </c>
      <c r="E323" s="5" t="s">
        <v>89</v>
      </c>
      <c r="F323" s="5" t="s">
        <v>90</v>
      </c>
      <c r="L323" s="5" t="s">
        <v>21</v>
      </c>
      <c r="M323" s="5" t="s">
        <v>670</v>
      </c>
    </row>
    <row r="324">
      <c r="A324" s="4">
        <v>3.51297083E8</v>
      </c>
      <c r="B324" s="4">
        <v>40.0</v>
      </c>
      <c r="C324" s="6">
        <v>46230.948912037034</v>
      </c>
      <c r="D324" s="5" t="s">
        <v>579</v>
      </c>
      <c r="E324" s="5" t="s">
        <v>89</v>
      </c>
      <c r="F324" s="5" t="s">
        <v>90</v>
      </c>
      <c r="L324" s="5" t="s">
        <v>21</v>
      </c>
      <c r="M324" s="5" t="s">
        <v>671</v>
      </c>
    </row>
    <row r="325">
      <c r="A325" s="4">
        <v>3.51297083E8</v>
      </c>
      <c r="B325" s="4">
        <v>40.0</v>
      </c>
      <c r="C325" s="6">
        <v>46230.948912037034</v>
      </c>
      <c r="D325" s="5" t="s">
        <v>579</v>
      </c>
      <c r="E325" s="5" t="s">
        <v>89</v>
      </c>
      <c r="F325" s="5" t="s">
        <v>90</v>
      </c>
      <c r="L325" s="5" t="s">
        <v>21</v>
      </c>
      <c r="M325" s="5" t="s">
        <v>672</v>
      </c>
    </row>
    <row r="326">
      <c r="A326" s="4">
        <v>3.51297083E8</v>
      </c>
      <c r="B326" s="4">
        <v>40.0</v>
      </c>
      <c r="C326" s="6">
        <v>46230.948912037034</v>
      </c>
      <c r="D326" s="5" t="s">
        <v>579</v>
      </c>
      <c r="E326" s="5" t="s">
        <v>89</v>
      </c>
      <c r="F326" s="5" t="s">
        <v>90</v>
      </c>
      <c r="L326" s="5" t="s">
        <v>21</v>
      </c>
      <c r="M326" s="5" t="s">
        <v>673</v>
      </c>
    </row>
    <row r="327">
      <c r="A327" s="4">
        <v>3.51297083E8</v>
      </c>
      <c r="B327" s="4">
        <v>40.0</v>
      </c>
      <c r="C327" s="6">
        <v>46230.948912037034</v>
      </c>
      <c r="D327" s="5" t="s">
        <v>579</v>
      </c>
      <c r="E327" s="5" t="s">
        <v>89</v>
      </c>
      <c r="F327" s="5" t="s">
        <v>90</v>
      </c>
      <c r="L327" s="5" t="s">
        <v>21</v>
      </c>
      <c r="M327" s="5" t="s">
        <v>674</v>
      </c>
    </row>
    <row r="328">
      <c r="A328" s="4">
        <v>3.51297083E8</v>
      </c>
      <c r="B328" s="4">
        <v>40.0</v>
      </c>
      <c r="C328" s="6">
        <v>46230.948912037034</v>
      </c>
      <c r="D328" s="5" t="s">
        <v>579</v>
      </c>
      <c r="E328" s="5" t="s">
        <v>89</v>
      </c>
      <c r="F328" s="5" t="s">
        <v>90</v>
      </c>
      <c r="L328" s="5" t="s">
        <v>21</v>
      </c>
      <c r="M328" s="5" t="s">
        <v>675</v>
      </c>
    </row>
    <row r="329">
      <c r="A329" s="4">
        <v>3.51297083E8</v>
      </c>
      <c r="B329" s="4">
        <v>40.0</v>
      </c>
      <c r="C329" s="6">
        <v>46230.948912037034</v>
      </c>
      <c r="D329" s="5" t="s">
        <v>579</v>
      </c>
      <c r="E329" s="5" t="s">
        <v>89</v>
      </c>
      <c r="F329" s="5" t="s">
        <v>90</v>
      </c>
      <c r="L329" s="5" t="s">
        <v>21</v>
      </c>
      <c r="M329" s="5" t="s">
        <v>676</v>
      </c>
    </row>
    <row r="330">
      <c r="A330" s="4">
        <v>3.51297083E8</v>
      </c>
      <c r="B330" s="4">
        <v>40.0</v>
      </c>
      <c r="C330" s="6">
        <v>46230.948912037034</v>
      </c>
      <c r="D330" s="5" t="s">
        <v>579</v>
      </c>
      <c r="E330" s="5" t="s">
        <v>89</v>
      </c>
      <c r="F330" s="5" t="s">
        <v>90</v>
      </c>
      <c r="L330" s="5" t="s">
        <v>21</v>
      </c>
      <c r="M330" s="5" t="s">
        <v>677</v>
      </c>
    </row>
    <row r="331">
      <c r="A331" s="4">
        <v>3.51297083E8</v>
      </c>
      <c r="B331" s="4">
        <v>40.0</v>
      </c>
      <c r="C331" s="6">
        <v>46230.948912037034</v>
      </c>
      <c r="D331" s="5" t="s">
        <v>579</v>
      </c>
      <c r="E331" s="5" t="s">
        <v>89</v>
      </c>
      <c r="F331" s="5" t="s">
        <v>90</v>
      </c>
      <c r="L331" s="5" t="s">
        <v>21</v>
      </c>
      <c r="M331" s="5" t="s">
        <v>678</v>
      </c>
    </row>
    <row r="332">
      <c r="A332" s="4">
        <v>3.51297083E8</v>
      </c>
      <c r="B332" s="4">
        <v>40.0</v>
      </c>
      <c r="C332" s="6">
        <v>46230.948912037034</v>
      </c>
      <c r="D332" s="5" t="s">
        <v>579</v>
      </c>
      <c r="E332" s="5" t="s">
        <v>89</v>
      </c>
      <c r="F332" s="5" t="s">
        <v>90</v>
      </c>
      <c r="L332" s="5" t="s">
        <v>21</v>
      </c>
      <c r="M332" s="5" t="s">
        <v>679</v>
      </c>
    </row>
    <row r="333">
      <c r="A333" s="4">
        <v>3.51297083E8</v>
      </c>
      <c r="B333" s="4">
        <v>40.0</v>
      </c>
      <c r="C333" s="6">
        <v>46230.948912037034</v>
      </c>
      <c r="D333" s="5" t="s">
        <v>579</v>
      </c>
      <c r="E333" s="5" t="s">
        <v>89</v>
      </c>
      <c r="F333" s="5" t="s">
        <v>90</v>
      </c>
      <c r="L333" s="5" t="s">
        <v>21</v>
      </c>
      <c r="M333" s="5" t="s">
        <v>680</v>
      </c>
    </row>
    <row r="334">
      <c r="A334" s="4">
        <v>3.51297083E8</v>
      </c>
      <c r="B334" s="4">
        <v>40.0</v>
      </c>
      <c r="C334" s="6">
        <v>46230.948912037034</v>
      </c>
      <c r="D334" s="5" t="s">
        <v>579</v>
      </c>
      <c r="E334" s="5" t="s">
        <v>89</v>
      </c>
      <c r="F334" s="5" t="s">
        <v>90</v>
      </c>
      <c r="L334" s="5" t="s">
        <v>21</v>
      </c>
      <c r="M334" s="5" t="s">
        <v>681</v>
      </c>
    </row>
    <row r="335">
      <c r="A335" s="4">
        <v>3.51297083E8</v>
      </c>
      <c r="B335" s="4">
        <v>40.0</v>
      </c>
      <c r="C335" s="6">
        <v>46230.948912037034</v>
      </c>
      <c r="D335" s="5" t="s">
        <v>579</v>
      </c>
      <c r="E335" s="5" t="s">
        <v>89</v>
      </c>
      <c r="F335" s="5" t="s">
        <v>90</v>
      </c>
      <c r="L335" s="5" t="s">
        <v>21</v>
      </c>
      <c r="M335" s="5" t="s">
        <v>682</v>
      </c>
    </row>
    <row r="336">
      <c r="A336" s="4">
        <v>3.51297083E8</v>
      </c>
      <c r="B336" s="4">
        <v>40.0</v>
      </c>
      <c r="C336" s="6">
        <v>46230.948912037034</v>
      </c>
      <c r="D336" s="5" t="s">
        <v>579</v>
      </c>
      <c r="E336" s="5" t="s">
        <v>89</v>
      </c>
      <c r="F336" s="5" t="s">
        <v>90</v>
      </c>
      <c r="L336" s="5" t="s">
        <v>21</v>
      </c>
      <c r="M336" s="5" t="s">
        <v>684</v>
      </c>
    </row>
    <row r="337">
      <c r="A337" s="4">
        <v>3.51297083E8</v>
      </c>
      <c r="B337" s="4">
        <v>40.0</v>
      </c>
      <c r="C337" s="6">
        <v>46230.948912037034</v>
      </c>
      <c r="D337" s="5" t="s">
        <v>579</v>
      </c>
      <c r="E337" s="5" t="s">
        <v>89</v>
      </c>
      <c r="F337" s="5" t="s">
        <v>90</v>
      </c>
      <c r="L337" s="5" t="s">
        <v>21</v>
      </c>
      <c r="M337" s="5" t="s">
        <v>685</v>
      </c>
    </row>
    <row r="338">
      <c r="A338" s="4">
        <v>3.51297083E8</v>
      </c>
      <c r="B338" s="4">
        <v>40.0</v>
      </c>
      <c r="C338" s="6">
        <v>46230.948912037034</v>
      </c>
      <c r="D338" s="5" t="s">
        <v>579</v>
      </c>
      <c r="E338" s="5" t="s">
        <v>89</v>
      </c>
      <c r="F338" s="5" t="s">
        <v>90</v>
      </c>
      <c r="L338" s="5" t="s">
        <v>21</v>
      </c>
      <c r="M338" s="5" t="s">
        <v>687</v>
      </c>
    </row>
    <row r="339">
      <c r="A339" s="4">
        <v>3.51297083E8</v>
      </c>
      <c r="B339" s="4">
        <v>40.0</v>
      </c>
      <c r="C339" s="6">
        <v>46230.948912037034</v>
      </c>
      <c r="D339" s="5" t="s">
        <v>579</v>
      </c>
      <c r="E339" s="5" t="s">
        <v>89</v>
      </c>
      <c r="F339" s="5" t="s">
        <v>90</v>
      </c>
      <c r="L339" s="5" t="s">
        <v>21</v>
      </c>
      <c r="M339" s="5" t="s">
        <v>688</v>
      </c>
    </row>
    <row r="340">
      <c r="A340" s="4">
        <v>3.51297083E8</v>
      </c>
      <c r="B340" s="4">
        <v>40.0</v>
      </c>
      <c r="C340" s="6">
        <v>46230.948912037034</v>
      </c>
      <c r="D340" s="5" t="s">
        <v>579</v>
      </c>
      <c r="E340" s="5" t="s">
        <v>89</v>
      </c>
      <c r="F340" s="5" t="s">
        <v>90</v>
      </c>
      <c r="L340" s="5" t="s">
        <v>21</v>
      </c>
      <c r="M340" s="5" t="s">
        <v>689</v>
      </c>
    </row>
    <row r="341">
      <c r="A341" s="4">
        <v>3.51297083E8</v>
      </c>
      <c r="B341" s="4">
        <v>40.0</v>
      </c>
      <c r="C341" s="6">
        <v>46230.948912037034</v>
      </c>
      <c r="D341" s="5" t="s">
        <v>579</v>
      </c>
      <c r="E341" s="5" t="s">
        <v>89</v>
      </c>
      <c r="F341" s="5" t="s">
        <v>90</v>
      </c>
      <c r="L341" s="5" t="s">
        <v>21</v>
      </c>
      <c r="M341" s="5" t="s">
        <v>691</v>
      </c>
    </row>
    <row r="342">
      <c r="A342" s="4">
        <v>3.51297083E8</v>
      </c>
      <c r="B342" s="4">
        <v>40.0</v>
      </c>
      <c r="C342" s="6">
        <v>46230.948912037034</v>
      </c>
      <c r="D342" s="5" t="s">
        <v>579</v>
      </c>
      <c r="E342" s="5" t="s">
        <v>89</v>
      </c>
      <c r="F342" s="5" t="s">
        <v>90</v>
      </c>
      <c r="L342" s="5" t="s">
        <v>21</v>
      </c>
      <c r="M342" s="5" t="s">
        <v>692</v>
      </c>
    </row>
    <row r="343">
      <c r="A343" s="4">
        <v>3.51297083E8</v>
      </c>
      <c r="B343" s="4">
        <v>40.0</v>
      </c>
      <c r="C343" s="6">
        <v>46230.948912037034</v>
      </c>
      <c r="D343" s="5" t="s">
        <v>579</v>
      </c>
      <c r="E343" s="5" t="s">
        <v>89</v>
      </c>
      <c r="F343" s="5" t="s">
        <v>90</v>
      </c>
      <c r="L343" s="5" t="s">
        <v>21</v>
      </c>
      <c r="M343" s="5" t="s">
        <v>694</v>
      </c>
    </row>
    <row r="344">
      <c r="A344" s="4">
        <v>3.51297083E8</v>
      </c>
      <c r="B344" s="4">
        <v>40.0</v>
      </c>
      <c r="C344" s="6">
        <v>46230.948912037034</v>
      </c>
      <c r="D344" s="5" t="s">
        <v>579</v>
      </c>
      <c r="E344" s="5" t="s">
        <v>89</v>
      </c>
      <c r="F344" s="5" t="s">
        <v>90</v>
      </c>
      <c r="L344" s="5" t="s">
        <v>21</v>
      </c>
      <c r="M344" s="5" t="s">
        <v>695</v>
      </c>
    </row>
    <row r="345">
      <c r="A345" s="4">
        <v>3.51297083E8</v>
      </c>
      <c r="B345" s="4">
        <v>40.0</v>
      </c>
      <c r="C345" s="6">
        <v>46230.948912037034</v>
      </c>
      <c r="D345" s="5" t="s">
        <v>579</v>
      </c>
      <c r="E345" s="5" t="s">
        <v>89</v>
      </c>
      <c r="F345" s="5" t="s">
        <v>90</v>
      </c>
      <c r="L345" s="5" t="s">
        <v>21</v>
      </c>
      <c r="M345" s="5" t="s">
        <v>696</v>
      </c>
    </row>
    <row r="346">
      <c r="A346" s="4">
        <v>3.51297083E8</v>
      </c>
      <c r="B346" s="4">
        <v>40.0</v>
      </c>
      <c r="C346" s="6">
        <v>46230.948912037034</v>
      </c>
      <c r="D346" s="5" t="s">
        <v>579</v>
      </c>
      <c r="E346" s="5" t="s">
        <v>89</v>
      </c>
      <c r="F346" s="5" t="s">
        <v>90</v>
      </c>
      <c r="L346" s="5" t="s">
        <v>21</v>
      </c>
      <c r="M346" s="5" t="s">
        <v>697</v>
      </c>
    </row>
    <row r="347">
      <c r="A347" s="4">
        <v>3.51297083E8</v>
      </c>
      <c r="B347" s="4">
        <v>40.0</v>
      </c>
      <c r="C347" s="6">
        <v>46230.948912037034</v>
      </c>
      <c r="D347" s="5" t="s">
        <v>579</v>
      </c>
      <c r="E347" s="5" t="s">
        <v>89</v>
      </c>
      <c r="F347" s="5" t="s">
        <v>90</v>
      </c>
      <c r="L347" s="5" t="s">
        <v>21</v>
      </c>
      <c r="M347" s="5" t="s">
        <v>699</v>
      </c>
    </row>
    <row r="348">
      <c r="A348" s="4">
        <v>3.51297083E8</v>
      </c>
      <c r="B348" s="4">
        <v>40.0</v>
      </c>
      <c r="C348" s="6">
        <v>46230.948912037034</v>
      </c>
      <c r="D348" s="5" t="s">
        <v>579</v>
      </c>
      <c r="E348" s="5" t="s">
        <v>89</v>
      </c>
      <c r="F348" s="5" t="s">
        <v>90</v>
      </c>
      <c r="L348" s="5" t="s">
        <v>21</v>
      </c>
      <c r="M348" s="5" t="s">
        <v>700</v>
      </c>
    </row>
    <row r="349">
      <c r="A349" s="4">
        <v>3.51297083E8</v>
      </c>
      <c r="B349" s="4">
        <v>41.0</v>
      </c>
      <c r="C349" s="6">
        <v>46230.9496875</v>
      </c>
      <c r="D349" s="5" t="s">
        <v>579</v>
      </c>
      <c r="E349" s="5" t="s">
        <v>89</v>
      </c>
      <c r="F349" s="5" t="s">
        <v>90</v>
      </c>
      <c r="L349" s="5" t="s">
        <v>21</v>
      </c>
      <c r="M349" s="5" t="s">
        <v>702</v>
      </c>
    </row>
    <row r="350">
      <c r="A350" s="4">
        <v>3.51297083E8</v>
      </c>
      <c r="B350" s="4">
        <v>41.0</v>
      </c>
      <c r="C350" s="6">
        <v>46230.9496875</v>
      </c>
      <c r="D350" s="5" t="s">
        <v>579</v>
      </c>
      <c r="E350" s="5" t="s">
        <v>89</v>
      </c>
      <c r="F350" s="5" t="s">
        <v>90</v>
      </c>
      <c r="L350" s="5" t="s">
        <v>21</v>
      </c>
      <c r="M350" s="5" t="s">
        <v>704</v>
      </c>
    </row>
    <row r="351">
      <c r="A351" s="4">
        <v>3.51297083E8</v>
      </c>
      <c r="B351" s="4">
        <v>41.0</v>
      </c>
      <c r="C351" s="6">
        <v>46230.9496875</v>
      </c>
      <c r="D351" s="5" t="s">
        <v>579</v>
      </c>
      <c r="E351" s="5" t="s">
        <v>89</v>
      </c>
      <c r="F351" s="5" t="s">
        <v>90</v>
      </c>
      <c r="L351" s="5" t="s">
        <v>21</v>
      </c>
      <c r="M351" s="5" t="s">
        <v>705</v>
      </c>
    </row>
    <row r="352">
      <c r="A352" s="4">
        <v>3.51297083E8</v>
      </c>
      <c r="B352" s="4">
        <v>41.0</v>
      </c>
      <c r="C352" s="6">
        <v>46230.9496875</v>
      </c>
      <c r="D352" s="5" t="s">
        <v>579</v>
      </c>
      <c r="E352" s="5" t="s">
        <v>89</v>
      </c>
      <c r="F352" s="5" t="s">
        <v>90</v>
      </c>
      <c r="L352" s="5" t="s">
        <v>21</v>
      </c>
      <c r="M352" s="5" t="s">
        <v>706</v>
      </c>
    </row>
    <row r="353">
      <c r="A353" s="4">
        <v>3.51297083E8</v>
      </c>
      <c r="B353" s="4">
        <v>41.0</v>
      </c>
      <c r="C353" s="6">
        <v>46230.9496875</v>
      </c>
      <c r="D353" s="5" t="s">
        <v>579</v>
      </c>
      <c r="E353" s="5" t="s">
        <v>89</v>
      </c>
      <c r="F353" s="5" t="s">
        <v>90</v>
      </c>
      <c r="L353" s="5" t="s">
        <v>21</v>
      </c>
      <c r="M353" s="5" t="s">
        <v>708</v>
      </c>
    </row>
    <row r="354">
      <c r="A354" s="4">
        <v>3.51297083E8</v>
      </c>
      <c r="B354" s="4">
        <v>41.0</v>
      </c>
      <c r="C354" s="6">
        <v>46230.9496875</v>
      </c>
      <c r="D354" s="5" t="s">
        <v>579</v>
      </c>
      <c r="E354" s="5" t="s">
        <v>89</v>
      </c>
      <c r="F354" s="5" t="s">
        <v>90</v>
      </c>
      <c r="L354" s="5" t="s">
        <v>21</v>
      </c>
      <c r="M354" s="5" t="s">
        <v>709</v>
      </c>
    </row>
    <row r="355">
      <c r="A355" s="4">
        <v>3.51297083E8</v>
      </c>
      <c r="B355" s="4">
        <v>41.0</v>
      </c>
      <c r="C355" s="6">
        <v>46230.9496875</v>
      </c>
      <c r="D355" s="5" t="s">
        <v>579</v>
      </c>
      <c r="E355" s="5" t="s">
        <v>89</v>
      </c>
      <c r="F355" s="5" t="s">
        <v>90</v>
      </c>
      <c r="L355" s="5" t="s">
        <v>21</v>
      </c>
      <c r="M355" s="5" t="s">
        <v>711</v>
      </c>
    </row>
    <row r="356">
      <c r="A356" s="4">
        <v>3.51297083E8</v>
      </c>
      <c r="B356" s="4">
        <v>41.0</v>
      </c>
      <c r="C356" s="6">
        <v>46230.9496875</v>
      </c>
      <c r="D356" s="5" t="s">
        <v>579</v>
      </c>
      <c r="E356" s="5" t="s">
        <v>89</v>
      </c>
      <c r="F356" s="5" t="s">
        <v>90</v>
      </c>
      <c r="L356" s="5" t="s">
        <v>21</v>
      </c>
      <c r="M356" s="5" t="s">
        <v>714</v>
      </c>
    </row>
    <row r="357">
      <c r="A357" s="4">
        <v>3.51297083E8</v>
      </c>
      <c r="B357" s="4">
        <v>41.0</v>
      </c>
      <c r="C357" s="6">
        <v>46230.9496875</v>
      </c>
      <c r="D357" s="5" t="s">
        <v>579</v>
      </c>
      <c r="E357" s="5" t="s">
        <v>89</v>
      </c>
      <c r="F357" s="5" t="s">
        <v>90</v>
      </c>
      <c r="L357" s="5" t="s">
        <v>21</v>
      </c>
      <c r="M357" s="5" t="s">
        <v>715</v>
      </c>
    </row>
    <row r="358">
      <c r="A358" s="4">
        <v>3.51297083E8</v>
      </c>
      <c r="B358" s="4">
        <v>41.0</v>
      </c>
      <c r="C358" s="6">
        <v>46230.9496875</v>
      </c>
      <c r="D358" s="5" t="s">
        <v>579</v>
      </c>
      <c r="E358" s="5" t="s">
        <v>89</v>
      </c>
      <c r="F358" s="5" t="s">
        <v>90</v>
      </c>
      <c r="L358" s="5" t="s">
        <v>21</v>
      </c>
      <c r="M358" s="5" t="s">
        <v>716</v>
      </c>
    </row>
    <row r="359">
      <c r="A359" s="4">
        <v>3.51297083E8</v>
      </c>
      <c r="B359" s="4">
        <v>41.0</v>
      </c>
      <c r="C359" s="6">
        <v>46230.9496875</v>
      </c>
      <c r="D359" s="5" t="s">
        <v>579</v>
      </c>
      <c r="E359" s="5" t="s">
        <v>89</v>
      </c>
      <c r="F359" s="5" t="s">
        <v>90</v>
      </c>
      <c r="L359" s="5" t="s">
        <v>21</v>
      </c>
      <c r="M359" s="5" t="s">
        <v>717</v>
      </c>
    </row>
    <row r="360">
      <c r="A360" s="4">
        <v>3.51297083E8</v>
      </c>
      <c r="B360" s="4">
        <v>41.0</v>
      </c>
      <c r="C360" s="6">
        <v>46230.9496875</v>
      </c>
      <c r="D360" s="5" t="s">
        <v>579</v>
      </c>
      <c r="E360" s="5" t="s">
        <v>89</v>
      </c>
      <c r="F360" s="5" t="s">
        <v>90</v>
      </c>
      <c r="L360" s="5" t="s">
        <v>21</v>
      </c>
      <c r="M360" s="5" t="s">
        <v>718</v>
      </c>
    </row>
    <row r="361">
      <c r="A361" s="4">
        <v>3.51297083E8</v>
      </c>
      <c r="B361" s="4">
        <v>41.0</v>
      </c>
      <c r="C361" s="6">
        <v>46230.9496875</v>
      </c>
      <c r="D361" s="5" t="s">
        <v>579</v>
      </c>
      <c r="E361" s="5" t="s">
        <v>89</v>
      </c>
      <c r="F361" s="5" t="s">
        <v>90</v>
      </c>
      <c r="L361" s="5" t="s">
        <v>21</v>
      </c>
      <c r="M361" s="5" t="s">
        <v>720</v>
      </c>
    </row>
    <row r="362">
      <c r="A362" s="4">
        <v>3.51297083E8</v>
      </c>
      <c r="B362" s="4">
        <v>41.0</v>
      </c>
      <c r="C362" s="6">
        <v>46230.9496875</v>
      </c>
      <c r="D362" s="5" t="s">
        <v>579</v>
      </c>
      <c r="E362" s="5" t="s">
        <v>89</v>
      </c>
      <c r="F362" s="5" t="s">
        <v>90</v>
      </c>
      <c r="L362" s="5" t="s">
        <v>21</v>
      </c>
      <c r="M362" s="5" t="s">
        <v>722</v>
      </c>
    </row>
    <row r="363">
      <c r="A363" s="4">
        <v>3.51297083E8</v>
      </c>
      <c r="B363" s="4">
        <v>42.0</v>
      </c>
      <c r="C363" s="6">
        <v>46230.95011574074</v>
      </c>
      <c r="D363" s="5" t="s">
        <v>593</v>
      </c>
      <c r="E363" s="5" t="s">
        <v>89</v>
      </c>
      <c r="F363" s="5" t="s">
        <v>20</v>
      </c>
      <c r="L363" s="5" t="s">
        <v>21</v>
      </c>
      <c r="M363" s="5" t="s">
        <v>666</v>
      </c>
    </row>
    <row r="364">
      <c r="A364" s="4">
        <v>3.51297083E8</v>
      </c>
      <c r="B364" s="4">
        <v>42.0</v>
      </c>
      <c r="C364" s="6">
        <v>46230.95011574074</v>
      </c>
      <c r="D364" s="5" t="s">
        <v>593</v>
      </c>
      <c r="E364" s="5" t="s">
        <v>89</v>
      </c>
      <c r="F364" s="5" t="s">
        <v>20</v>
      </c>
      <c r="L364" s="5" t="s">
        <v>21</v>
      </c>
      <c r="M364" s="5" t="s">
        <v>667</v>
      </c>
    </row>
    <row r="365">
      <c r="A365" s="4">
        <v>3.51297083E8</v>
      </c>
      <c r="B365" s="4">
        <v>42.0</v>
      </c>
      <c r="C365" s="6">
        <v>46230.95011574074</v>
      </c>
      <c r="D365" s="5" t="s">
        <v>593</v>
      </c>
      <c r="E365" s="5" t="s">
        <v>89</v>
      </c>
      <c r="F365" s="5" t="s">
        <v>20</v>
      </c>
      <c r="L365" s="5" t="s">
        <v>21</v>
      </c>
      <c r="M365" s="5" t="s">
        <v>668</v>
      </c>
    </row>
    <row r="366">
      <c r="A366" s="4">
        <v>3.51297083E8</v>
      </c>
      <c r="B366" s="4">
        <v>42.0</v>
      </c>
      <c r="C366" s="6">
        <v>46230.95011574074</v>
      </c>
      <c r="D366" s="5" t="s">
        <v>593</v>
      </c>
      <c r="E366" s="5" t="s">
        <v>89</v>
      </c>
      <c r="F366" s="5" t="s">
        <v>20</v>
      </c>
      <c r="L366" s="5" t="s">
        <v>21</v>
      </c>
      <c r="M366" s="5" t="s">
        <v>670</v>
      </c>
    </row>
    <row r="367">
      <c r="A367" s="4">
        <v>3.51297083E8</v>
      </c>
      <c r="B367" s="4">
        <v>42.0</v>
      </c>
      <c r="C367" s="6">
        <v>46230.95011574074</v>
      </c>
      <c r="D367" s="5" t="s">
        <v>593</v>
      </c>
      <c r="E367" s="5" t="s">
        <v>89</v>
      </c>
      <c r="F367" s="5" t="s">
        <v>20</v>
      </c>
      <c r="L367" s="5" t="s">
        <v>21</v>
      </c>
      <c r="M367" s="5" t="s">
        <v>671</v>
      </c>
    </row>
    <row r="368">
      <c r="A368" s="4">
        <v>3.51297083E8</v>
      </c>
      <c r="B368" s="4">
        <v>42.0</v>
      </c>
      <c r="C368" s="6">
        <v>46230.95011574074</v>
      </c>
      <c r="D368" s="5" t="s">
        <v>593</v>
      </c>
      <c r="E368" s="5" t="s">
        <v>89</v>
      </c>
      <c r="F368" s="5" t="s">
        <v>20</v>
      </c>
      <c r="L368" s="5" t="s">
        <v>21</v>
      </c>
      <c r="M368" s="5" t="s">
        <v>672</v>
      </c>
    </row>
    <row r="369">
      <c r="A369" s="4">
        <v>3.51297083E8</v>
      </c>
      <c r="B369" s="4">
        <v>42.0</v>
      </c>
      <c r="C369" s="6">
        <v>46230.95011574074</v>
      </c>
      <c r="D369" s="5" t="s">
        <v>593</v>
      </c>
      <c r="E369" s="5" t="s">
        <v>89</v>
      </c>
      <c r="F369" s="5" t="s">
        <v>20</v>
      </c>
      <c r="L369" s="5" t="s">
        <v>21</v>
      </c>
      <c r="M369" s="5" t="s">
        <v>673</v>
      </c>
    </row>
    <row r="370">
      <c r="A370" s="4">
        <v>3.51297083E8</v>
      </c>
      <c r="B370" s="4">
        <v>42.0</v>
      </c>
      <c r="C370" s="6">
        <v>46230.95011574074</v>
      </c>
      <c r="D370" s="5" t="s">
        <v>593</v>
      </c>
      <c r="E370" s="5" t="s">
        <v>89</v>
      </c>
      <c r="F370" s="5" t="s">
        <v>20</v>
      </c>
      <c r="L370" s="5" t="s">
        <v>21</v>
      </c>
      <c r="M370" s="5" t="s">
        <v>674</v>
      </c>
    </row>
    <row r="371">
      <c r="A371" s="4">
        <v>3.51297083E8</v>
      </c>
      <c r="B371" s="4">
        <v>42.0</v>
      </c>
      <c r="C371" s="6">
        <v>46230.95011574074</v>
      </c>
      <c r="D371" s="5" t="s">
        <v>593</v>
      </c>
      <c r="E371" s="5" t="s">
        <v>89</v>
      </c>
      <c r="F371" s="5" t="s">
        <v>20</v>
      </c>
      <c r="L371" s="5" t="s">
        <v>21</v>
      </c>
      <c r="M371" s="5" t="s">
        <v>675</v>
      </c>
    </row>
    <row r="372">
      <c r="A372" s="4">
        <v>3.51297083E8</v>
      </c>
      <c r="B372" s="4">
        <v>42.0</v>
      </c>
      <c r="C372" s="6">
        <v>46230.95011574074</v>
      </c>
      <c r="D372" s="5" t="s">
        <v>593</v>
      </c>
      <c r="E372" s="5" t="s">
        <v>89</v>
      </c>
      <c r="F372" s="5" t="s">
        <v>20</v>
      </c>
      <c r="L372" s="5" t="s">
        <v>21</v>
      </c>
      <c r="M372" s="5" t="s">
        <v>676</v>
      </c>
    </row>
    <row r="373">
      <c r="A373" s="4">
        <v>3.51297083E8</v>
      </c>
      <c r="B373" s="4">
        <v>42.0</v>
      </c>
      <c r="C373" s="6">
        <v>46230.95011574074</v>
      </c>
      <c r="D373" s="5" t="s">
        <v>593</v>
      </c>
      <c r="E373" s="5" t="s">
        <v>89</v>
      </c>
      <c r="F373" s="5" t="s">
        <v>20</v>
      </c>
      <c r="L373" s="5" t="s">
        <v>21</v>
      </c>
      <c r="M373" s="5" t="s">
        <v>677</v>
      </c>
    </row>
    <row r="374">
      <c r="A374" s="4">
        <v>3.51297083E8</v>
      </c>
      <c r="B374" s="4">
        <v>42.0</v>
      </c>
      <c r="C374" s="6">
        <v>46230.95011574074</v>
      </c>
      <c r="D374" s="5" t="s">
        <v>593</v>
      </c>
      <c r="E374" s="5" t="s">
        <v>89</v>
      </c>
      <c r="F374" s="5" t="s">
        <v>20</v>
      </c>
      <c r="L374" s="5" t="s">
        <v>21</v>
      </c>
      <c r="M374" s="5" t="s">
        <v>678</v>
      </c>
    </row>
    <row r="375">
      <c r="A375" s="4">
        <v>3.51297083E8</v>
      </c>
      <c r="B375" s="4">
        <v>42.0</v>
      </c>
      <c r="C375" s="6">
        <v>46230.95011574074</v>
      </c>
      <c r="D375" s="5" t="s">
        <v>593</v>
      </c>
      <c r="E375" s="5" t="s">
        <v>89</v>
      </c>
      <c r="F375" s="5" t="s">
        <v>20</v>
      </c>
      <c r="L375" s="5" t="s">
        <v>21</v>
      </c>
      <c r="M375" s="5" t="s">
        <v>679</v>
      </c>
    </row>
    <row r="376">
      <c r="A376" s="4">
        <v>3.51297083E8</v>
      </c>
      <c r="B376" s="4">
        <v>42.0</v>
      </c>
      <c r="C376" s="6">
        <v>46230.95011574074</v>
      </c>
      <c r="D376" s="5" t="s">
        <v>593</v>
      </c>
      <c r="E376" s="5" t="s">
        <v>89</v>
      </c>
      <c r="F376" s="5" t="s">
        <v>20</v>
      </c>
      <c r="L376" s="5" t="s">
        <v>21</v>
      </c>
      <c r="M376" s="5" t="s">
        <v>680</v>
      </c>
    </row>
    <row r="377">
      <c r="A377" s="4">
        <v>3.51297083E8</v>
      </c>
      <c r="B377" s="4">
        <v>42.0</v>
      </c>
      <c r="C377" s="6">
        <v>46230.95011574074</v>
      </c>
      <c r="D377" s="5" t="s">
        <v>593</v>
      </c>
      <c r="E377" s="5" t="s">
        <v>89</v>
      </c>
      <c r="F377" s="5" t="s">
        <v>20</v>
      </c>
      <c r="L377" s="5" t="s">
        <v>21</v>
      </c>
      <c r="M377" s="5" t="s">
        <v>681</v>
      </c>
    </row>
    <row r="378">
      <c r="A378" s="4">
        <v>3.51297083E8</v>
      </c>
      <c r="B378" s="4">
        <v>42.0</v>
      </c>
      <c r="C378" s="6">
        <v>46230.95011574074</v>
      </c>
      <c r="D378" s="5" t="s">
        <v>593</v>
      </c>
      <c r="E378" s="5" t="s">
        <v>89</v>
      </c>
      <c r="F378" s="5" t="s">
        <v>20</v>
      </c>
      <c r="L378" s="5" t="s">
        <v>21</v>
      </c>
      <c r="M378" s="5" t="s">
        <v>682</v>
      </c>
    </row>
    <row r="379">
      <c r="A379" s="4">
        <v>3.51297083E8</v>
      </c>
      <c r="B379" s="4">
        <v>42.0</v>
      </c>
      <c r="C379" s="6">
        <v>46230.95011574074</v>
      </c>
      <c r="D379" s="5" t="s">
        <v>593</v>
      </c>
      <c r="E379" s="5" t="s">
        <v>89</v>
      </c>
      <c r="F379" s="5" t="s">
        <v>20</v>
      </c>
      <c r="L379" s="5" t="s">
        <v>21</v>
      </c>
      <c r="M379" s="5" t="s">
        <v>684</v>
      </c>
    </row>
    <row r="380">
      <c r="A380" s="4">
        <v>3.51297083E8</v>
      </c>
      <c r="B380" s="4">
        <v>42.0</v>
      </c>
      <c r="C380" s="6">
        <v>46230.95011574074</v>
      </c>
      <c r="D380" s="5" t="s">
        <v>593</v>
      </c>
      <c r="E380" s="5" t="s">
        <v>89</v>
      </c>
      <c r="F380" s="5" t="s">
        <v>20</v>
      </c>
      <c r="L380" s="5" t="s">
        <v>21</v>
      </c>
      <c r="M380" s="5" t="s">
        <v>685</v>
      </c>
    </row>
    <row r="381">
      <c r="A381" s="4">
        <v>3.51297083E8</v>
      </c>
      <c r="B381" s="4">
        <v>42.0</v>
      </c>
      <c r="C381" s="6">
        <v>46230.95011574074</v>
      </c>
      <c r="D381" s="5" t="s">
        <v>593</v>
      </c>
      <c r="E381" s="5" t="s">
        <v>89</v>
      </c>
      <c r="F381" s="5" t="s">
        <v>20</v>
      </c>
      <c r="L381" s="5" t="s">
        <v>21</v>
      </c>
      <c r="M381" s="5" t="s">
        <v>687</v>
      </c>
    </row>
    <row r="382">
      <c r="A382" s="4">
        <v>3.51297083E8</v>
      </c>
      <c r="B382" s="4">
        <v>42.0</v>
      </c>
      <c r="C382" s="6">
        <v>46230.95011574074</v>
      </c>
      <c r="D382" s="5" t="s">
        <v>593</v>
      </c>
      <c r="E382" s="5" t="s">
        <v>89</v>
      </c>
      <c r="F382" s="5" t="s">
        <v>20</v>
      </c>
      <c r="L382" s="5" t="s">
        <v>21</v>
      </c>
      <c r="M382" s="5" t="s">
        <v>688</v>
      </c>
    </row>
    <row r="383">
      <c r="A383" s="4">
        <v>3.51297083E8</v>
      </c>
      <c r="B383" s="4">
        <v>42.0</v>
      </c>
      <c r="C383" s="6">
        <v>46230.95011574074</v>
      </c>
      <c r="D383" s="5" t="s">
        <v>593</v>
      </c>
      <c r="E383" s="5" t="s">
        <v>89</v>
      </c>
      <c r="F383" s="5" t="s">
        <v>20</v>
      </c>
      <c r="L383" s="5" t="s">
        <v>21</v>
      </c>
      <c r="M383" s="5" t="s">
        <v>689</v>
      </c>
    </row>
    <row r="384">
      <c r="A384" s="4">
        <v>3.51297083E8</v>
      </c>
      <c r="B384" s="4">
        <v>42.0</v>
      </c>
      <c r="C384" s="6">
        <v>46230.95011574074</v>
      </c>
      <c r="D384" s="5" t="s">
        <v>593</v>
      </c>
      <c r="E384" s="5" t="s">
        <v>89</v>
      </c>
      <c r="F384" s="5" t="s">
        <v>20</v>
      </c>
      <c r="L384" s="5" t="s">
        <v>21</v>
      </c>
      <c r="M384" s="5" t="s">
        <v>691</v>
      </c>
    </row>
    <row r="385">
      <c r="A385" s="4">
        <v>3.51297083E8</v>
      </c>
      <c r="B385" s="4">
        <v>42.0</v>
      </c>
      <c r="C385" s="6">
        <v>46230.95011574074</v>
      </c>
      <c r="D385" s="5" t="s">
        <v>593</v>
      </c>
      <c r="E385" s="5" t="s">
        <v>89</v>
      </c>
      <c r="F385" s="5" t="s">
        <v>20</v>
      </c>
      <c r="L385" s="5" t="s">
        <v>21</v>
      </c>
      <c r="M385" s="5" t="s">
        <v>692</v>
      </c>
    </row>
    <row r="386">
      <c r="A386" s="4">
        <v>3.51297083E8</v>
      </c>
      <c r="B386" s="4">
        <v>42.0</v>
      </c>
      <c r="C386" s="6">
        <v>46230.95011574074</v>
      </c>
      <c r="D386" s="5" t="s">
        <v>593</v>
      </c>
      <c r="E386" s="5" t="s">
        <v>89</v>
      </c>
      <c r="F386" s="5" t="s">
        <v>20</v>
      </c>
      <c r="L386" s="5" t="s">
        <v>21</v>
      </c>
      <c r="M386" s="5" t="s">
        <v>694</v>
      </c>
    </row>
    <row r="387">
      <c r="A387" s="4">
        <v>3.51297083E8</v>
      </c>
      <c r="B387" s="4">
        <v>42.0</v>
      </c>
      <c r="C387" s="6">
        <v>46230.95011574074</v>
      </c>
      <c r="D387" s="5" t="s">
        <v>593</v>
      </c>
      <c r="E387" s="5" t="s">
        <v>89</v>
      </c>
      <c r="F387" s="5" t="s">
        <v>20</v>
      </c>
      <c r="L387" s="5" t="s">
        <v>21</v>
      </c>
      <c r="M387" s="5" t="s">
        <v>695</v>
      </c>
    </row>
    <row r="388">
      <c r="A388" s="4">
        <v>3.51297083E8</v>
      </c>
      <c r="B388" s="4">
        <v>42.0</v>
      </c>
      <c r="C388" s="6">
        <v>46230.95011574074</v>
      </c>
      <c r="D388" s="5" t="s">
        <v>593</v>
      </c>
      <c r="E388" s="5" t="s">
        <v>89</v>
      </c>
      <c r="F388" s="5" t="s">
        <v>20</v>
      </c>
      <c r="L388" s="5" t="s">
        <v>21</v>
      </c>
      <c r="M388" s="5" t="s">
        <v>696</v>
      </c>
    </row>
    <row r="389">
      <c r="A389" s="4">
        <v>3.51297083E8</v>
      </c>
      <c r="B389" s="4">
        <v>42.0</v>
      </c>
      <c r="C389" s="6">
        <v>46230.95011574074</v>
      </c>
      <c r="D389" s="5" t="s">
        <v>593</v>
      </c>
      <c r="E389" s="5" t="s">
        <v>89</v>
      </c>
      <c r="F389" s="5" t="s">
        <v>20</v>
      </c>
      <c r="L389" s="5" t="s">
        <v>21</v>
      </c>
      <c r="M389" s="5" t="s">
        <v>697</v>
      </c>
    </row>
    <row r="390">
      <c r="A390" s="4">
        <v>3.51297083E8</v>
      </c>
      <c r="B390" s="4">
        <v>42.0</v>
      </c>
      <c r="C390" s="6">
        <v>46230.95011574074</v>
      </c>
      <c r="D390" s="5" t="s">
        <v>593</v>
      </c>
      <c r="E390" s="5" t="s">
        <v>89</v>
      </c>
      <c r="F390" s="5" t="s">
        <v>20</v>
      </c>
      <c r="L390" s="5" t="s">
        <v>21</v>
      </c>
      <c r="M390" s="5" t="s">
        <v>699</v>
      </c>
    </row>
    <row r="391">
      <c r="A391" s="4">
        <v>3.51297083E8</v>
      </c>
      <c r="B391" s="4">
        <v>42.0</v>
      </c>
      <c r="C391" s="6">
        <v>46230.95011574074</v>
      </c>
      <c r="D391" s="5" t="s">
        <v>593</v>
      </c>
      <c r="E391" s="5" t="s">
        <v>89</v>
      </c>
      <c r="F391" s="5" t="s">
        <v>20</v>
      </c>
      <c r="L391" s="5" t="s">
        <v>21</v>
      </c>
      <c r="M391" s="5" t="s">
        <v>700</v>
      </c>
    </row>
    <row r="392">
      <c r="A392" s="4">
        <v>3.51297083E8</v>
      </c>
      <c r="B392" s="4">
        <v>43.0</v>
      </c>
      <c r="C392" s="6">
        <v>46230.96861111111</v>
      </c>
      <c r="D392" s="5" t="s">
        <v>599</v>
      </c>
      <c r="E392" s="5" t="s">
        <v>598</v>
      </c>
      <c r="F392" s="5" t="s">
        <v>90</v>
      </c>
      <c r="H392" s="5">
        <v>1175.0</v>
      </c>
      <c r="I392" s="5" t="s">
        <v>738</v>
      </c>
      <c r="J392" s="4">
        <v>5.0</v>
      </c>
      <c r="K392" s="5" t="s">
        <v>739</v>
      </c>
      <c r="L392" s="5" t="s">
        <v>122</v>
      </c>
      <c r="M392" s="5" t="s">
        <v>740</v>
      </c>
    </row>
    <row r="393">
      <c r="A393" s="4">
        <v>3.51297083E8</v>
      </c>
      <c r="B393" s="4">
        <v>43.0</v>
      </c>
      <c r="C393" s="6">
        <v>46230.96861111111</v>
      </c>
      <c r="D393" s="5" t="s">
        <v>599</v>
      </c>
      <c r="E393" s="5" t="s">
        <v>598</v>
      </c>
      <c r="F393" s="5" t="s">
        <v>90</v>
      </c>
      <c r="H393" s="5">
        <v>1962.0</v>
      </c>
      <c r="I393" s="5" t="s">
        <v>742</v>
      </c>
      <c r="J393" s="4">
        <v>5.0</v>
      </c>
      <c r="K393" s="5" t="s">
        <v>739</v>
      </c>
      <c r="L393" s="5" t="s">
        <v>122</v>
      </c>
      <c r="M393" s="5" t="s">
        <v>743</v>
      </c>
    </row>
    <row r="394">
      <c r="A394" s="4">
        <v>3.51297083E8</v>
      </c>
      <c r="B394" s="4">
        <v>43.0</v>
      </c>
      <c r="C394" s="6">
        <v>46230.96861111111</v>
      </c>
      <c r="D394" s="5" t="s">
        <v>599</v>
      </c>
      <c r="E394" s="5" t="s">
        <v>598</v>
      </c>
      <c r="F394" s="5" t="s">
        <v>90</v>
      </c>
      <c r="H394" s="5">
        <v>1669.0</v>
      </c>
      <c r="I394" s="5" t="s">
        <v>744</v>
      </c>
      <c r="J394" s="4">
        <v>5.0</v>
      </c>
      <c r="K394" s="5" t="s">
        <v>739</v>
      </c>
      <c r="L394" s="5" t="s">
        <v>122</v>
      </c>
      <c r="M394" s="5" t="s">
        <v>745</v>
      </c>
    </row>
    <row r="395">
      <c r="A395" s="4">
        <v>3.51297083E8</v>
      </c>
      <c r="B395" s="4">
        <v>43.0</v>
      </c>
      <c r="C395" s="6">
        <v>46230.96861111111</v>
      </c>
      <c r="D395" s="5" t="s">
        <v>599</v>
      </c>
      <c r="E395" s="5" t="s">
        <v>598</v>
      </c>
      <c r="F395" s="5" t="s">
        <v>90</v>
      </c>
      <c r="H395" s="5">
        <v>1867.0</v>
      </c>
      <c r="I395" s="5" t="s">
        <v>748</v>
      </c>
      <c r="J395" s="4">
        <v>5.0</v>
      </c>
      <c r="K395" s="5" t="s">
        <v>739</v>
      </c>
      <c r="L395" s="5" t="s">
        <v>122</v>
      </c>
      <c r="M395" s="5" t="s">
        <v>749</v>
      </c>
    </row>
    <row r="396">
      <c r="A396" s="4">
        <v>3.51297083E8</v>
      </c>
      <c r="B396" s="4">
        <v>43.0</v>
      </c>
      <c r="C396" s="6">
        <v>46230.96861111111</v>
      </c>
      <c r="D396" s="5" t="s">
        <v>599</v>
      </c>
      <c r="E396" s="5" t="s">
        <v>598</v>
      </c>
      <c r="F396" s="5" t="s">
        <v>90</v>
      </c>
      <c r="H396" s="5">
        <v>1589.0</v>
      </c>
      <c r="I396" s="5" t="s">
        <v>750</v>
      </c>
      <c r="J396" s="4">
        <v>5.0</v>
      </c>
      <c r="K396" s="5" t="s">
        <v>739</v>
      </c>
      <c r="L396" s="5" t="s">
        <v>122</v>
      </c>
      <c r="M396" s="5" t="s">
        <v>752</v>
      </c>
    </row>
    <row r="397">
      <c r="A397" s="4">
        <v>3.51297083E8</v>
      </c>
      <c r="B397" s="4">
        <v>43.0</v>
      </c>
      <c r="C397" s="6">
        <v>46230.96861111111</v>
      </c>
      <c r="D397" s="5" t="s">
        <v>599</v>
      </c>
      <c r="E397" s="5" t="s">
        <v>598</v>
      </c>
      <c r="F397" s="5" t="s">
        <v>90</v>
      </c>
      <c r="H397" s="5">
        <v>1029.0</v>
      </c>
      <c r="I397" s="5" t="s">
        <v>753</v>
      </c>
      <c r="J397" s="4">
        <v>5.0</v>
      </c>
      <c r="K397" s="5" t="s">
        <v>739</v>
      </c>
      <c r="L397" s="5" t="s">
        <v>122</v>
      </c>
      <c r="M397" s="5" t="s">
        <v>754</v>
      </c>
    </row>
    <row r="398">
      <c r="A398" s="4">
        <v>3.51297083E8</v>
      </c>
      <c r="B398" s="4">
        <v>44.0</v>
      </c>
      <c r="C398" s="6">
        <v>46231.002291666664</v>
      </c>
      <c r="D398" s="5" t="s">
        <v>611</v>
      </c>
      <c r="E398" s="5" t="s">
        <v>609</v>
      </c>
      <c r="F398" s="5" t="s">
        <v>90</v>
      </c>
      <c r="L398" s="5" t="s">
        <v>21</v>
      </c>
      <c r="M398" s="5" t="s">
        <v>756</v>
      </c>
    </row>
    <row r="399">
      <c r="A399" s="4">
        <v>3.51297083E8</v>
      </c>
      <c r="B399" s="4">
        <v>44.0</v>
      </c>
      <c r="C399" s="6">
        <v>46231.002291666664</v>
      </c>
      <c r="D399" s="5" t="s">
        <v>611</v>
      </c>
      <c r="E399" s="5" t="s">
        <v>609</v>
      </c>
      <c r="F399" s="5" t="s">
        <v>90</v>
      </c>
      <c r="L399" s="5" t="s">
        <v>21</v>
      </c>
      <c r="M399" s="5" t="s">
        <v>758</v>
      </c>
    </row>
    <row r="400">
      <c r="A400" s="4">
        <v>3.51297083E8</v>
      </c>
      <c r="B400" s="4">
        <v>44.0</v>
      </c>
      <c r="C400" s="6">
        <v>46231.002291666664</v>
      </c>
      <c r="D400" s="5" t="s">
        <v>611</v>
      </c>
      <c r="E400" s="5" t="s">
        <v>609</v>
      </c>
      <c r="F400" s="5" t="s">
        <v>90</v>
      </c>
      <c r="L400" s="5" t="s">
        <v>21</v>
      </c>
      <c r="M400" s="5" t="s">
        <v>759</v>
      </c>
    </row>
    <row r="401">
      <c r="A401" s="4">
        <v>3.51297083E8</v>
      </c>
      <c r="B401" s="4">
        <v>44.0</v>
      </c>
      <c r="C401" s="6">
        <v>46231.002291666664</v>
      </c>
      <c r="D401" s="5" t="s">
        <v>611</v>
      </c>
      <c r="E401" s="5" t="s">
        <v>609</v>
      </c>
      <c r="F401" s="5" t="s">
        <v>90</v>
      </c>
      <c r="L401" s="5" t="s">
        <v>21</v>
      </c>
      <c r="M401" s="5" t="s">
        <v>761</v>
      </c>
    </row>
    <row r="402">
      <c r="A402" s="4">
        <v>3.51297083E8</v>
      </c>
      <c r="B402" s="4">
        <v>44.0</v>
      </c>
      <c r="C402" s="6">
        <v>46231.002291666664</v>
      </c>
      <c r="D402" s="5" t="s">
        <v>611</v>
      </c>
      <c r="E402" s="5" t="s">
        <v>609</v>
      </c>
      <c r="F402" s="5" t="s">
        <v>90</v>
      </c>
      <c r="L402" s="5" t="s">
        <v>21</v>
      </c>
      <c r="M402" s="5" t="s">
        <v>762</v>
      </c>
    </row>
    <row r="403">
      <c r="A403" s="4">
        <v>3.51297083E8</v>
      </c>
      <c r="B403" s="4">
        <v>44.0</v>
      </c>
      <c r="C403" s="6">
        <v>46231.002291666664</v>
      </c>
      <c r="D403" s="5" t="s">
        <v>611</v>
      </c>
      <c r="E403" s="5" t="s">
        <v>609</v>
      </c>
      <c r="F403" s="5" t="s">
        <v>90</v>
      </c>
      <c r="L403" s="5" t="s">
        <v>21</v>
      </c>
      <c r="M403" s="5" t="s">
        <v>763</v>
      </c>
    </row>
    <row r="404">
      <c r="A404" s="4">
        <v>3.51297083E8</v>
      </c>
      <c r="B404" s="4">
        <v>44.0</v>
      </c>
      <c r="C404" s="6">
        <v>46231.002291666664</v>
      </c>
      <c r="D404" s="5" t="s">
        <v>611</v>
      </c>
      <c r="E404" s="5" t="s">
        <v>609</v>
      </c>
      <c r="F404" s="5" t="s">
        <v>90</v>
      </c>
      <c r="L404" s="5" t="s">
        <v>21</v>
      </c>
      <c r="M404" s="5" t="s">
        <v>764</v>
      </c>
    </row>
    <row r="405">
      <c r="A405" s="4">
        <v>3.51297083E8</v>
      </c>
      <c r="B405" s="4">
        <v>44.0</v>
      </c>
      <c r="C405" s="6">
        <v>46231.002291666664</v>
      </c>
      <c r="D405" s="5" t="s">
        <v>611</v>
      </c>
      <c r="E405" s="5" t="s">
        <v>609</v>
      </c>
      <c r="F405" s="5" t="s">
        <v>90</v>
      </c>
      <c r="L405" s="5" t="s">
        <v>21</v>
      </c>
      <c r="M405" s="5" t="s">
        <v>765</v>
      </c>
    </row>
    <row r="406">
      <c r="A406" s="4">
        <v>3.51297083E8</v>
      </c>
      <c r="B406" s="4">
        <v>44.0</v>
      </c>
      <c r="C406" s="6">
        <v>46231.002291666664</v>
      </c>
      <c r="D406" s="5" t="s">
        <v>611</v>
      </c>
      <c r="E406" s="5" t="s">
        <v>609</v>
      </c>
      <c r="F406" s="5" t="s">
        <v>90</v>
      </c>
      <c r="L406" s="5" t="s">
        <v>21</v>
      </c>
      <c r="M406" s="5" t="s">
        <v>767</v>
      </c>
    </row>
    <row r="407">
      <c r="A407" s="4">
        <v>3.51297083E8</v>
      </c>
      <c r="B407" s="4">
        <v>44.0</v>
      </c>
      <c r="C407" s="6">
        <v>46231.002291666664</v>
      </c>
      <c r="D407" s="5" t="s">
        <v>611</v>
      </c>
      <c r="E407" s="5" t="s">
        <v>609</v>
      </c>
      <c r="F407" s="5" t="s">
        <v>90</v>
      </c>
      <c r="L407" s="5" t="s">
        <v>21</v>
      </c>
      <c r="M407" s="5" t="s">
        <v>768</v>
      </c>
    </row>
    <row r="408">
      <c r="A408" s="4">
        <v>3.51297083E8</v>
      </c>
      <c r="B408" s="4">
        <v>44.0</v>
      </c>
      <c r="C408" s="6">
        <v>46231.002291666664</v>
      </c>
      <c r="D408" s="5" t="s">
        <v>611</v>
      </c>
      <c r="E408" s="5" t="s">
        <v>609</v>
      </c>
      <c r="F408" s="5" t="s">
        <v>90</v>
      </c>
      <c r="L408" s="5" t="s">
        <v>21</v>
      </c>
      <c r="M408" s="5" t="s">
        <v>769</v>
      </c>
    </row>
    <row r="409">
      <c r="A409" s="4">
        <v>3.51297083E8</v>
      </c>
      <c r="B409" s="4">
        <v>44.0</v>
      </c>
      <c r="C409" s="6">
        <v>46231.002291666664</v>
      </c>
      <c r="D409" s="5" t="s">
        <v>611</v>
      </c>
      <c r="E409" s="5" t="s">
        <v>609</v>
      </c>
      <c r="F409" s="5" t="s">
        <v>90</v>
      </c>
      <c r="L409" s="5" t="s">
        <v>21</v>
      </c>
      <c r="M409" s="5" t="s">
        <v>770</v>
      </c>
    </row>
    <row r="410">
      <c r="A410" s="4">
        <v>3.51297083E8</v>
      </c>
      <c r="B410" s="4">
        <v>44.0</v>
      </c>
      <c r="C410" s="6">
        <v>46231.002291666664</v>
      </c>
      <c r="D410" s="5" t="s">
        <v>611</v>
      </c>
      <c r="E410" s="5" t="s">
        <v>609</v>
      </c>
      <c r="F410" s="5" t="s">
        <v>90</v>
      </c>
      <c r="L410" s="5" t="s">
        <v>21</v>
      </c>
      <c r="M410" s="5" t="s">
        <v>771</v>
      </c>
    </row>
    <row r="411">
      <c r="A411" s="4">
        <v>3.51297083E8</v>
      </c>
      <c r="B411" s="4">
        <v>44.0</v>
      </c>
      <c r="C411" s="6">
        <v>46231.002291666664</v>
      </c>
      <c r="D411" s="5" t="s">
        <v>611</v>
      </c>
      <c r="E411" s="5" t="s">
        <v>609</v>
      </c>
      <c r="F411" s="5" t="s">
        <v>90</v>
      </c>
      <c r="L411" s="5" t="s">
        <v>21</v>
      </c>
      <c r="M411" s="5" t="s">
        <v>772</v>
      </c>
    </row>
    <row r="412">
      <c r="A412" s="4">
        <v>3.51297083E8</v>
      </c>
      <c r="B412" s="4">
        <v>44.0</v>
      </c>
      <c r="C412" s="6">
        <v>46231.002291666664</v>
      </c>
      <c r="D412" s="5" t="s">
        <v>611</v>
      </c>
      <c r="E412" s="5" t="s">
        <v>609</v>
      </c>
      <c r="F412" s="5" t="s">
        <v>90</v>
      </c>
      <c r="L412" s="5" t="s">
        <v>21</v>
      </c>
      <c r="M412" s="5" t="s">
        <v>774</v>
      </c>
    </row>
    <row r="413">
      <c r="A413" s="4">
        <v>3.51297083E8</v>
      </c>
      <c r="B413" s="4">
        <v>45.0</v>
      </c>
      <c r="C413" s="6">
        <v>46231.00638888889</v>
      </c>
      <c r="D413" s="5" t="s">
        <v>620</v>
      </c>
      <c r="E413" s="5" t="s">
        <v>609</v>
      </c>
      <c r="F413" s="5" t="s">
        <v>20</v>
      </c>
      <c r="L413" s="5" t="s">
        <v>21</v>
      </c>
      <c r="M413" s="5" t="s">
        <v>776</v>
      </c>
    </row>
    <row r="414">
      <c r="A414" s="4">
        <v>3.51297083E8</v>
      </c>
      <c r="B414" s="4">
        <v>45.0</v>
      </c>
      <c r="C414" s="6">
        <v>46231.00638888889</v>
      </c>
      <c r="D414" s="5" t="s">
        <v>620</v>
      </c>
      <c r="E414" s="5" t="s">
        <v>609</v>
      </c>
      <c r="F414" s="5" t="s">
        <v>20</v>
      </c>
      <c r="L414" s="5" t="s">
        <v>21</v>
      </c>
      <c r="M414" s="5" t="s">
        <v>777</v>
      </c>
    </row>
    <row r="415">
      <c r="A415" s="4">
        <v>3.51297083E8</v>
      </c>
      <c r="B415" s="4">
        <v>45.0</v>
      </c>
      <c r="C415" s="6">
        <v>46231.00638888889</v>
      </c>
      <c r="D415" s="5" t="s">
        <v>620</v>
      </c>
      <c r="E415" s="5" t="s">
        <v>609</v>
      </c>
      <c r="F415" s="5" t="s">
        <v>20</v>
      </c>
      <c r="L415" s="5" t="s">
        <v>21</v>
      </c>
      <c r="M415" s="5" t="s">
        <v>779</v>
      </c>
    </row>
    <row r="416">
      <c r="A416" s="4">
        <v>3.51297083E8</v>
      </c>
      <c r="B416" s="4">
        <v>45.0</v>
      </c>
      <c r="C416" s="6">
        <v>46231.00638888889</v>
      </c>
      <c r="D416" s="5" t="s">
        <v>620</v>
      </c>
      <c r="E416" s="5" t="s">
        <v>609</v>
      </c>
      <c r="F416" s="5" t="s">
        <v>20</v>
      </c>
      <c r="L416" s="5" t="s">
        <v>21</v>
      </c>
      <c r="M416" s="5" t="s">
        <v>780</v>
      </c>
    </row>
    <row r="417">
      <c r="A417" s="4">
        <v>3.51297083E8</v>
      </c>
      <c r="B417" s="4">
        <v>45.0</v>
      </c>
      <c r="C417" s="6">
        <v>46231.00638888889</v>
      </c>
      <c r="D417" s="5" t="s">
        <v>620</v>
      </c>
      <c r="E417" s="5" t="s">
        <v>609</v>
      </c>
      <c r="F417" s="5" t="s">
        <v>20</v>
      </c>
      <c r="L417" s="5" t="s">
        <v>21</v>
      </c>
      <c r="M417" s="5" t="s">
        <v>782</v>
      </c>
    </row>
    <row r="418">
      <c r="A418" s="4">
        <v>3.51297083E8</v>
      </c>
      <c r="B418" s="4">
        <v>45.0</v>
      </c>
      <c r="C418" s="6">
        <v>46231.00638888889</v>
      </c>
      <c r="D418" s="5" t="s">
        <v>620</v>
      </c>
      <c r="E418" s="5" t="s">
        <v>609</v>
      </c>
      <c r="F418" s="5" t="s">
        <v>20</v>
      </c>
      <c r="L418" s="5" t="s">
        <v>21</v>
      </c>
      <c r="M418" s="5" t="s">
        <v>783</v>
      </c>
    </row>
    <row r="419">
      <c r="A419" s="4">
        <v>3.51297083E8</v>
      </c>
      <c r="B419" s="4">
        <v>45.0</v>
      </c>
      <c r="C419" s="6">
        <v>46231.00638888889</v>
      </c>
      <c r="D419" s="5" t="s">
        <v>620</v>
      </c>
      <c r="E419" s="5" t="s">
        <v>609</v>
      </c>
      <c r="F419" s="5" t="s">
        <v>20</v>
      </c>
      <c r="L419" s="5" t="s">
        <v>21</v>
      </c>
      <c r="M419" s="5" t="s">
        <v>785</v>
      </c>
    </row>
    <row r="420">
      <c r="A420" s="4">
        <v>3.51297083E8</v>
      </c>
      <c r="B420" s="4">
        <v>45.0</v>
      </c>
      <c r="C420" s="6">
        <v>46231.00638888889</v>
      </c>
      <c r="D420" s="5" t="s">
        <v>620</v>
      </c>
      <c r="E420" s="5" t="s">
        <v>609</v>
      </c>
      <c r="F420" s="5" t="s">
        <v>20</v>
      </c>
      <c r="L420" s="5" t="s">
        <v>21</v>
      </c>
      <c r="M420" s="5" t="s">
        <v>786</v>
      </c>
    </row>
    <row r="421">
      <c r="A421" s="4">
        <v>3.51297083E8</v>
      </c>
      <c r="B421" s="4">
        <v>45.0</v>
      </c>
      <c r="C421" s="6">
        <v>46231.00638888889</v>
      </c>
      <c r="D421" s="5" t="s">
        <v>620</v>
      </c>
      <c r="E421" s="5" t="s">
        <v>609</v>
      </c>
      <c r="F421" s="5" t="s">
        <v>20</v>
      </c>
      <c r="L421" s="5" t="s">
        <v>21</v>
      </c>
      <c r="M421" s="5" t="s">
        <v>787</v>
      </c>
    </row>
    <row r="422">
      <c r="A422" s="4">
        <v>3.51297083E8</v>
      </c>
      <c r="B422" s="4">
        <v>45.0</v>
      </c>
      <c r="C422" s="6">
        <v>46231.00638888889</v>
      </c>
      <c r="D422" s="5" t="s">
        <v>620</v>
      </c>
      <c r="E422" s="5" t="s">
        <v>609</v>
      </c>
      <c r="F422" s="5" t="s">
        <v>20</v>
      </c>
      <c r="L422" s="5" t="s">
        <v>21</v>
      </c>
      <c r="M422" s="5" t="s">
        <v>788</v>
      </c>
    </row>
    <row r="423">
      <c r="A423" s="4">
        <v>3.51297083E8</v>
      </c>
      <c r="B423" s="4">
        <v>45.0</v>
      </c>
      <c r="C423" s="6">
        <v>46231.00638888889</v>
      </c>
      <c r="D423" s="5" t="s">
        <v>620</v>
      </c>
      <c r="E423" s="5" t="s">
        <v>609</v>
      </c>
      <c r="F423" s="5" t="s">
        <v>20</v>
      </c>
      <c r="L423" s="5" t="s">
        <v>21</v>
      </c>
      <c r="M423" s="5" t="s">
        <v>790</v>
      </c>
    </row>
    <row r="424">
      <c r="A424" s="4">
        <v>3.51297083E8</v>
      </c>
      <c r="B424" s="4">
        <v>45.0</v>
      </c>
      <c r="C424" s="6">
        <v>46231.00638888889</v>
      </c>
      <c r="D424" s="5" t="s">
        <v>620</v>
      </c>
      <c r="E424" s="5" t="s">
        <v>609</v>
      </c>
      <c r="F424" s="5" t="s">
        <v>20</v>
      </c>
      <c r="L424" s="5" t="s">
        <v>21</v>
      </c>
      <c r="M424" s="5" t="s">
        <v>792</v>
      </c>
    </row>
    <row r="425">
      <c r="A425" s="4">
        <v>3.51297083E8</v>
      </c>
      <c r="B425" s="4">
        <v>45.0</v>
      </c>
      <c r="C425" s="6">
        <v>46231.00638888889</v>
      </c>
      <c r="D425" s="5" t="s">
        <v>620</v>
      </c>
      <c r="E425" s="5" t="s">
        <v>609</v>
      </c>
      <c r="F425" s="5" t="s">
        <v>20</v>
      </c>
      <c r="L425" s="5" t="s">
        <v>21</v>
      </c>
      <c r="M425" s="5" t="s">
        <v>793</v>
      </c>
    </row>
    <row r="426">
      <c r="A426" s="4">
        <v>3.51297083E8</v>
      </c>
      <c r="B426" s="4">
        <v>45.0</v>
      </c>
      <c r="C426" s="6">
        <v>46231.00638888889</v>
      </c>
      <c r="D426" s="5" t="s">
        <v>620</v>
      </c>
      <c r="E426" s="5" t="s">
        <v>609</v>
      </c>
      <c r="F426" s="5" t="s">
        <v>20</v>
      </c>
      <c r="L426" s="5" t="s">
        <v>21</v>
      </c>
      <c r="M426" s="5" t="s">
        <v>794</v>
      </c>
    </row>
    <row r="427">
      <c r="A427" s="4">
        <v>3.51297083E8</v>
      </c>
      <c r="B427" s="4">
        <v>45.0</v>
      </c>
      <c r="C427" s="6">
        <v>46231.00638888889</v>
      </c>
      <c r="D427" s="5" t="s">
        <v>620</v>
      </c>
      <c r="E427" s="5" t="s">
        <v>609</v>
      </c>
      <c r="F427" s="5" t="s">
        <v>20</v>
      </c>
      <c r="L427" s="5" t="s">
        <v>21</v>
      </c>
      <c r="M427" s="5" t="s">
        <v>795</v>
      </c>
    </row>
    <row r="428">
      <c r="A428" s="4">
        <v>3.51297083E8</v>
      </c>
      <c r="B428" s="4">
        <v>45.0</v>
      </c>
      <c r="C428" s="6">
        <v>46231.00638888889</v>
      </c>
      <c r="D428" s="5" t="s">
        <v>620</v>
      </c>
      <c r="E428" s="5" t="s">
        <v>609</v>
      </c>
      <c r="F428" s="5" t="s">
        <v>20</v>
      </c>
      <c r="L428" s="5" t="s">
        <v>21</v>
      </c>
      <c r="M428" s="5" t="s">
        <v>797</v>
      </c>
    </row>
    <row r="429">
      <c r="A429" s="4">
        <v>3.51297083E8</v>
      </c>
      <c r="B429" s="4">
        <v>45.0</v>
      </c>
      <c r="C429" s="6">
        <v>46231.00638888889</v>
      </c>
      <c r="D429" s="5" t="s">
        <v>620</v>
      </c>
      <c r="E429" s="5" t="s">
        <v>609</v>
      </c>
      <c r="F429" s="5" t="s">
        <v>20</v>
      </c>
      <c r="L429" s="5" t="s">
        <v>21</v>
      </c>
      <c r="M429" s="5" t="s">
        <v>799</v>
      </c>
    </row>
    <row r="430">
      <c r="A430" s="4">
        <v>3.51297083E8</v>
      </c>
      <c r="B430" s="4">
        <v>45.0</v>
      </c>
      <c r="C430" s="6">
        <v>46231.00638888889</v>
      </c>
      <c r="D430" s="5" t="s">
        <v>620</v>
      </c>
      <c r="E430" s="5" t="s">
        <v>609</v>
      </c>
      <c r="F430" s="5" t="s">
        <v>20</v>
      </c>
      <c r="L430" s="5" t="s">
        <v>21</v>
      </c>
      <c r="M430" s="5" t="s">
        <v>800</v>
      </c>
    </row>
    <row r="431">
      <c r="A431" s="4">
        <v>3.51297083E8</v>
      </c>
      <c r="B431" s="4">
        <v>45.0</v>
      </c>
      <c r="C431" s="6">
        <v>46231.00638888889</v>
      </c>
      <c r="D431" s="5" t="s">
        <v>620</v>
      </c>
      <c r="E431" s="5" t="s">
        <v>609</v>
      </c>
      <c r="F431" s="5" t="s">
        <v>20</v>
      </c>
      <c r="L431" s="5" t="s">
        <v>21</v>
      </c>
      <c r="M431" s="5" t="s">
        <v>801</v>
      </c>
    </row>
    <row r="432">
      <c r="A432" s="4">
        <v>3.51297083E8</v>
      </c>
      <c r="B432" s="4">
        <v>45.0</v>
      </c>
      <c r="C432" s="6">
        <v>46231.00638888889</v>
      </c>
      <c r="D432" s="5" t="s">
        <v>620</v>
      </c>
      <c r="E432" s="5" t="s">
        <v>609</v>
      </c>
      <c r="F432" s="5" t="s">
        <v>20</v>
      </c>
      <c r="L432" s="5" t="s">
        <v>21</v>
      </c>
      <c r="M432" s="5" t="s">
        <v>802</v>
      </c>
    </row>
    <row r="433">
      <c r="A433" s="4">
        <v>3.51297083E8</v>
      </c>
      <c r="B433" s="4">
        <v>45.0</v>
      </c>
      <c r="C433" s="6">
        <v>46231.00638888889</v>
      </c>
      <c r="D433" s="5" t="s">
        <v>620</v>
      </c>
      <c r="E433" s="5" t="s">
        <v>609</v>
      </c>
      <c r="F433" s="5" t="s">
        <v>20</v>
      </c>
      <c r="L433" s="5" t="s">
        <v>21</v>
      </c>
      <c r="M433" s="5" t="s">
        <v>804</v>
      </c>
    </row>
    <row r="434">
      <c r="A434" s="4">
        <v>3.51297083E8</v>
      </c>
      <c r="B434" s="4">
        <v>45.0</v>
      </c>
      <c r="C434" s="6">
        <v>46231.00638888889</v>
      </c>
      <c r="D434" s="5" t="s">
        <v>620</v>
      </c>
      <c r="E434" s="5" t="s">
        <v>609</v>
      </c>
      <c r="F434" s="5" t="s">
        <v>20</v>
      </c>
      <c r="L434" s="5" t="s">
        <v>21</v>
      </c>
      <c r="M434" s="5" t="s">
        <v>805</v>
      </c>
    </row>
    <row r="435">
      <c r="A435" s="4">
        <v>3.51297083E8</v>
      </c>
      <c r="B435" s="4">
        <v>45.0</v>
      </c>
      <c r="C435" s="6">
        <v>46231.00638888889</v>
      </c>
      <c r="D435" s="5" t="s">
        <v>620</v>
      </c>
      <c r="E435" s="5" t="s">
        <v>609</v>
      </c>
      <c r="F435" s="5" t="s">
        <v>20</v>
      </c>
      <c r="L435" s="5" t="s">
        <v>21</v>
      </c>
      <c r="M435" s="5" t="s">
        <v>807</v>
      </c>
    </row>
    <row r="436">
      <c r="A436" s="4">
        <v>3.51297083E8</v>
      </c>
      <c r="B436" s="4">
        <v>45.0</v>
      </c>
      <c r="C436" s="6">
        <v>46231.00638888889</v>
      </c>
      <c r="D436" s="5" t="s">
        <v>620</v>
      </c>
      <c r="E436" s="5" t="s">
        <v>609</v>
      </c>
      <c r="F436" s="5" t="s">
        <v>20</v>
      </c>
      <c r="L436" s="5" t="s">
        <v>21</v>
      </c>
      <c r="M436" s="5" t="s">
        <v>808</v>
      </c>
    </row>
    <row r="437">
      <c r="A437" s="4">
        <v>3.51297083E8</v>
      </c>
      <c r="B437" s="4">
        <v>45.0</v>
      </c>
      <c r="C437" s="6">
        <v>46231.00638888889</v>
      </c>
      <c r="D437" s="5" t="s">
        <v>620</v>
      </c>
      <c r="E437" s="5" t="s">
        <v>609</v>
      </c>
      <c r="F437" s="5" t="s">
        <v>20</v>
      </c>
      <c r="L437" s="5" t="s">
        <v>21</v>
      </c>
      <c r="M437" s="5" t="s">
        <v>809</v>
      </c>
    </row>
    <row r="438">
      <c r="A438" s="4">
        <v>3.51297083E8</v>
      </c>
      <c r="B438" s="4">
        <v>45.0</v>
      </c>
      <c r="C438" s="6">
        <v>46231.00638888889</v>
      </c>
      <c r="D438" s="5" t="s">
        <v>620</v>
      </c>
      <c r="E438" s="5" t="s">
        <v>609</v>
      </c>
      <c r="F438" s="5" t="s">
        <v>20</v>
      </c>
      <c r="L438" s="5" t="s">
        <v>21</v>
      </c>
      <c r="M438" s="5" t="s">
        <v>811</v>
      </c>
    </row>
    <row r="439">
      <c r="A439" s="4">
        <v>3.51297083E8</v>
      </c>
      <c r="B439" s="4">
        <v>45.0</v>
      </c>
      <c r="C439" s="6">
        <v>46231.00638888889</v>
      </c>
      <c r="D439" s="5" t="s">
        <v>620</v>
      </c>
      <c r="E439" s="5" t="s">
        <v>609</v>
      </c>
      <c r="F439" s="5" t="s">
        <v>20</v>
      </c>
      <c r="L439" s="5" t="s">
        <v>21</v>
      </c>
      <c r="M439" s="5" t="s">
        <v>813</v>
      </c>
    </row>
    <row r="440">
      <c r="A440" s="4">
        <v>3.51297083E8</v>
      </c>
      <c r="B440" s="4">
        <v>45.0</v>
      </c>
      <c r="C440" s="6">
        <v>46231.00638888889</v>
      </c>
      <c r="D440" s="5" t="s">
        <v>620</v>
      </c>
      <c r="E440" s="5" t="s">
        <v>609</v>
      </c>
      <c r="F440" s="5" t="s">
        <v>20</v>
      </c>
      <c r="L440" s="5" t="s">
        <v>21</v>
      </c>
      <c r="M440" s="5" t="s">
        <v>814</v>
      </c>
    </row>
    <row r="441">
      <c r="A441" s="4">
        <v>3.51297083E8</v>
      </c>
      <c r="B441" s="4">
        <v>45.0</v>
      </c>
      <c r="C441" s="6">
        <v>46231.00638888889</v>
      </c>
      <c r="D441" s="5" t="s">
        <v>620</v>
      </c>
      <c r="E441" s="5" t="s">
        <v>609</v>
      </c>
      <c r="F441" s="5" t="s">
        <v>20</v>
      </c>
      <c r="L441" s="5" t="s">
        <v>21</v>
      </c>
      <c r="M441" s="5" t="s">
        <v>815</v>
      </c>
    </row>
    <row r="442">
      <c r="A442" s="4">
        <v>3.51297083E8</v>
      </c>
      <c r="B442" s="4">
        <v>45.0</v>
      </c>
      <c r="C442" s="6">
        <v>46231.00638888889</v>
      </c>
      <c r="D442" s="5" t="s">
        <v>620</v>
      </c>
      <c r="E442" s="5" t="s">
        <v>609</v>
      </c>
      <c r="F442" s="5" t="s">
        <v>20</v>
      </c>
      <c r="L442" s="5" t="s">
        <v>21</v>
      </c>
      <c r="M442" s="5" t="s">
        <v>816</v>
      </c>
    </row>
    <row r="443">
      <c r="A443" s="4">
        <v>3.51297083E8</v>
      </c>
      <c r="B443" s="4">
        <v>45.0</v>
      </c>
      <c r="C443" s="6">
        <v>46231.00638888889</v>
      </c>
      <c r="D443" s="5" t="s">
        <v>620</v>
      </c>
      <c r="E443" s="5" t="s">
        <v>609</v>
      </c>
      <c r="F443" s="5" t="s">
        <v>20</v>
      </c>
      <c r="L443" s="5" t="s">
        <v>21</v>
      </c>
      <c r="M443" s="5" t="s">
        <v>818</v>
      </c>
    </row>
    <row r="444">
      <c r="A444" s="4">
        <v>3.51297083E8</v>
      </c>
      <c r="B444" s="4">
        <v>45.0</v>
      </c>
      <c r="C444" s="6">
        <v>46231.00638888889</v>
      </c>
      <c r="D444" s="5" t="s">
        <v>620</v>
      </c>
      <c r="E444" s="5" t="s">
        <v>609</v>
      </c>
      <c r="F444" s="5" t="s">
        <v>20</v>
      </c>
      <c r="L444" s="5" t="s">
        <v>21</v>
      </c>
      <c r="M444" s="5" t="s">
        <v>819</v>
      </c>
    </row>
    <row r="445">
      <c r="A445" s="4">
        <v>3.51297083E8</v>
      </c>
      <c r="B445" s="4">
        <v>45.0</v>
      </c>
      <c r="C445" s="6">
        <v>46231.00638888889</v>
      </c>
      <c r="D445" s="5" t="s">
        <v>620</v>
      </c>
      <c r="E445" s="5" t="s">
        <v>609</v>
      </c>
      <c r="F445" s="5" t="s">
        <v>20</v>
      </c>
      <c r="L445" s="5" t="s">
        <v>21</v>
      </c>
      <c r="M445" s="5" t="s">
        <v>822</v>
      </c>
    </row>
    <row r="446">
      <c r="A446" s="4">
        <v>3.51297083E8</v>
      </c>
      <c r="B446" s="4">
        <v>45.0</v>
      </c>
      <c r="C446" s="6">
        <v>46231.00638888889</v>
      </c>
      <c r="D446" s="5" t="s">
        <v>620</v>
      </c>
      <c r="E446" s="5" t="s">
        <v>609</v>
      </c>
      <c r="F446" s="5" t="s">
        <v>20</v>
      </c>
      <c r="L446" s="5" t="s">
        <v>21</v>
      </c>
      <c r="M446" s="5" t="s">
        <v>823</v>
      </c>
    </row>
    <row r="447">
      <c r="A447" s="4">
        <v>3.51297083E8</v>
      </c>
      <c r="B447" s="4">
        <v>45.0</v>
      </c>
      <c r="C447" s="6">
        <v>46231.00638888889</v>
      </c>
      <c r="D447" s="5" t="s">
        <v>620</v>
      </c>
      <c r="E447" s="5" t="s">
        <v>609</v>
      </c>
      <c r="F447" s="5" t="s">
        <v>20</v>
      </c>
      <c r="L447" s="5" t="s">
        <v>21</v>
      </c>
      <c r="M447" s="5" t="s">
        <v>824</v>
      </c>
    </row>
    <row r="448">
      <c r="A448" s="4">
        <v>3.51297083E8</v>
      </c>
      <c r="B448" s="4">
        <v>45.0</v>
      </c>
      <c r="C448" s="6">
        <v>46231.00638888889</v>
      </c>
      <c r="D448" s="5" t="s">
        <v>620</v>
      </c>
      <c r="E448" s="5" t="s">
        <v>609</v>
      </c>
      <c r="F448" s="5" t="s">
        <v>20</v>
      </c>
      <c r="L448" s="5" t="s">
        <v>21</v>
      </c>
      <c r="M448" s="5" t="s">
        <v>825</v>
      </c>
    </row>
    <row r="449">
      <c r="A449" s="4">
        <v>3.51297083E8</v>
      </c>
      <c r="B449" s="4">
        <v>45.0</v>
      </c>
      <c r="C449" s="6">
        <v>46231.00638888889</v>
      </c>
      <c r="D449" s="5" t="s">
        <v>620</v>
      </c>
      <c r="E449" s="5" t="s">
        <v>609</v>
      </c>
      <c r="F449" s="5" t="s">
        <v>20</v>
      </c>
      <c r="L449" s="5" t="s">
        <v>21</v>
      </c>
      <c r="M449" s="5" t="s">
        <v>827</v>
      </c>
    </row>
    <row r="450">
      <c r="A450" s="4">
        <v>3.51297083E8</v>
      </c>
      <c r="B450" s="4">
        <v>45.0</v>
      </c>
      <c r="C450" s="6">
        <v>46231.00638888889</v>
      </c>
      <c r="D450" s="5" t="s">
        <v>620</v>
      </c>
      <c r="E450" s="5" t="s">
        <v>609</v>
      </c>
      <c r="F450" s="5" t="s">
        <v>20</v>
      </c>
      <c r="L450" s="5" t="s">
        <v>21</v>
      </c>
      <c r="M450" s="5" t="s">
        <v>829</v>
      </c>
    </row>
    <row r="451">
      <c r="A451" s="4">
        <v>3.51297083E8</v>
      </c>
      <c r="B451" s="4">
        <v>45.0</v>
      </c>
      <c r="C451" s="6">
        <v>46231.00638888889</v>
      </c>
      <c r="D451" s="5" t="s">
        <v>620</v>
      </c>
      <c r="E451" s="5" t="s">
        <v>609</v>
      </c>
      <c r="F451" s="5" t="s">
        <v>20</v>
      </c>
      <c r="L451" s="5" t="s">
        <v>21</v>
      </c>
      <c r="M451" s="5" t="s">
        <v>831</v>
      </c>
    </row>
    <row r="452">
      <c r="A452" s="4">
        <v>3.51297083E8</v>
      </c>
      <c r="B452" s="4">
        <v>45.0</v>
      </c>
      <c r="C452" s="6">
        <v>46231.00638888889</v>
      </c>
      <c r="D452" s="5" t="s">
        <v>620</v>
      </c>
      <c r="E452" s="5" t="s">
        <v>609</v>
      </c>
      <c r="F452" s="5" t="s">
        <v>20</v>
      </c>
      <c r="L452" s="5" t="s">
        <v>21</v>
      </c>
      <c r="M452" s="5" t="s">
        <v>832</v>
      </c>
    </row>
  </sheetData>
  <drawing r:id="rId1"/>
</worksheet>
</file>